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TH_project\Resource_CIW\may\"/>
    </mc:Choice>
  </mc:AlternateContent>
  <xr:revisionPtr revIDLastSave="0" documentId="13_ncr:1_{CB21055F-55F3-45AA-B52E-902713FD2464}" xr6:coauthVersionLast="45" xr6:coauthVersionMax="45" xr10:uidLastSave="{00000000-0000-0000-0000-000000000000}"/>
  <bookViews>
    <workbookView xWindow="28680" yWindow="-120" windowWidth="29040" windowHeight="15720" xr2:uid="{63DF8E50-396C-4BD1-A586-829E95329406}"/>
  </bookViews>
  <sheets>
    <sheet name="ТМЦ" sheetId="2" r:id="rId1"/>
    <sheet name="Лист1" sheetId="1" r:id="rId2"/>
  </sheets>
  <externalReferences>
    <externalReference r:id="rId3"/>
  </externalReferences>
  <definedNames>
    <definedName name="_xlnm._FilterDatabase" localSheetId="0" hidden="1">ТМЦ!$B$3:$X$85</definedName>
    <definedName name="ID">#REF!</definedName>
    <definedName name="Каналы">#REF!</definedName>
    <definedName name="Каркас">#REF!</definedName>
    <definedName name="Кровля">#REF!</definedName>
    <definedName name="Пол">#REF!</definedName>
    <definedName name="Стены">#REF!</definedName>
    <definedName name="Фундамент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97" i="2" l="1"/>
  <c r="O97" i="2"/>
  <c r="M97" i="2"/>
  <c r="L97" i="2"/>
  <c r="K97" i="2"/>
  <c r="H97" i="2"/>
  <c r="W96" i="2"/>
  <c r="O96" i="2"/>
  <c r="M96" i="2"/>
  <c r="L96" i="2"/>
  <c r="K96" i="2"/>
  <c r="H96" i="2"/>
  <c r="W95" i="2"/>
  <c r="O95" i="2"/>
  <c r="M95" i="2"/>
  <c r="L95" i="2"/>
  <c r="K95" i="2"/>
  <c r="H95" i="2"/>
  <c r="W94" i="2"/>
  <c r="O94" i="2"/>
  <c r="M94" i="2"/>
  <c r="L94" i="2"/>
  <c r="K94" i="2"/>
  <c r="H94" i="2"/>
  <c r="W93" i="2"/>
  <c r="O93" i="2"/>
  <c r="M93" i="2"/>
  <c r="L93" i="2"/>
  <c r="K93" i="2"/>
  <c r="H93" i="2"/>
  <c r="W92" i="2"/>
  <c r="O92" i="2"/>
  <c r="M92" i="2"/>
  <c r="L92" i="2"/>
  <c r="K92" i="2"/>
  <c r="H92" i="2"/>
  <c r="W91" i="2"/>
  <c r="O91" i="2"/>
  <c r="M91" i="2"/>
  <c r="L91" i="2"/>
  <c r="K91" i="2"/>
  <c r="H91" i="2"/>
  <c r="W90" i="2"/>
  <c r="O90" i="2"/>
  <c r="M90" i="2"/>
  <c r="L90" i="2"/>
  <c r="K90" i="2"/>
  <c r="H90" i="2"/>
  <c r="W89" i="2"/>
  <c r="O89" i="2"/>
  <c r="M89" i="2"/>
  <c r="L89" i="2"/>
  <c r="K89" i="2"/>
  <c r="H89" i="2"/>
  <c r="W88" i="2"/>
  <c r="O88" i="2"/>
  <c r="M88" i="2"/>
  <c r="L88" i="2"/>
  <c r="K88" i="2"/>
  <c r="H88" i="2"/>
  <c r="W87" i="2"/>
  <c r="O87" i="2"/>
  <c r="M87" i="2"/>
  <c r="L87" i="2"/>
  <c r="K87" i="2"/>
  <c r="H87" i="2"/>
  <c r="W86" i="2"/>
  <c r="O86" i="2"/>
  <c r="M86" i="2"/>
  <c r="L86" i="2"/>
  <c r="K86" i="2"/>
  <c r="H86" i="2"/>
  <c r="O85" i="2"/>
  <c r="K84" i="2"/>
  <c r="M83" i="2"/>
  <c r="W82" i="2"/>
  <c r="M81" i="2"/>
  <c r="W80" i="2"/>
  <c r="M79" i="2"/>
  <c r="W78" i="2"/>
  <c r="M77" i="2"/>
  <c r="M75" i="2"/>
  <c r="W74" i="2"/>
  <c r="M73" i="2"/>
  <c r="K72" i="2"/>
  <c r="M71" i="2"/>
  <c r="M69" i="2"/>
  <c r="W68" i="2"/>
  <c r="M67" i="2"/>
  <c r="W66" i="2"/>
  <c r="M65" i="2"/>
  <c r="L64" i="2"/>
  <c r="M63" i="2"/>
  <c r="L62" i="2"/>
  <c r="M61" i="2"/>
  <c r="W60" i="2"/>
  <c r="M59" i="2"/>
  <c r="L58" i="2"/>
  <c r="M57" i="2"/>
  <c r="M55" i="2"/>
  <c r="W54" i="2"/>
  <c r="M53" i="2"/>
  <c r="W52" i="2"/>
  <c r="M51" i="2"/>
  <c r="H50" i="2"/>
  <c r="M49" i="2"/>
  <c r="W48" i="2"/>
  <c r="M47" i="2"/>
  <c r="L46" i="2"/>
  <c r="M45" i="2"/>
  <c r="L44" i="2"/>
  <c r="M43" i="2"/>
  <c r="W42" i="2"/>
  <c r="M41" i="2"/>
  <c r="K40" i="2"/>
  <c r="M39" i="2"/>
  <c r="M37" i="2"/>
  <c r="W36" i="2"/>
  <c r="M35" i="2"/>
  <c r="W34" i="2"/>
  <c r="H34" i="2"/>
  <c r="M33" i="2"/>
  <c r="L32" i="2"/>
  <c r="M31" i="2"/>
  <c r="W30" i="2"/>
  <c r="M29" i="2"/>
  <c r="H28" i="2"/>
  <c r="M27" i="2"/>
  <c r="L26" i="2"/>
  <c r="M25" i="2"/>
  <c r="H24" i="2"/>
  <c r="M23" i="2"/>
  <c r="W22" i="2"/>
  <c r="M21" i="2"/>
  <c r="W20" i="2"/>
  <c r="M19" i="2"/>
  <c r="W18" i="2"/>
  <c r="M17" i="2"/>
  <c r="W16" i="2"/>
  <c r="M15" i="2"/>
  <c r="W14" i="2"/>
  <c r="M13" i="2"/>
  <c r="L12" i="2"/>
  <c r="M11" i="2"/>
  <c r="M9" i="2"/>
  <c r="K8" i="2"/>
  <c r="M7" i="2"/>
  <c r="W6" i="2"/>
  <c r="L5" i="2"/>
  <c r="M5" i="2"/>
  <c r="K4" i="2"/>
  <c r="X93" i="2" l="1"/>
  <c r="X96" i="2"/>
  <c r="X91" i="2"/>
  <c r="X86" i="2"/>
  <c r="X94" i="2"/>
  <c r="X97" i="2"/>
  <c r="X92" i="2"/>
  <c r="X87" i="2"/>
  <c r="X95" i="2"/>
  <c r="K28" i="2"/>
  <c r="L51" i="2"/>
  <c r="L28" i="2"/>
  <c r="L45" i="2"/>
  <c r="W57" i="2"/>
  <c r="L19" i="2"/>
  <c r="H46" i="2"/>
  <c r="K46" i="2"/>
  <c r="W28" i="2"/>
  <c r="K23" i="2"/>
  <c r="K69" i="2"/>
  <c r="L23" i="2"/>
  <c r="K71" i="2"/>
  <c r="H26" i="2"/>
  <c r="O35" i="2"/>
  <c r="L60" i="2"/>
  <c r="W35" i="2"/>
  <c r="L17" i="2"/>
  <c r="O27" i="2"/>
  <c r="W77" i="2"/>
  <c r="X88" i="2"/>
  <c r="X89" i="2"/>
  <c r="K19" i="2"/>
  <c r="H51" i="2"/>
  <c r="H60" i="2"/>
  <c r="O69" i="2"/>
  <c r="O19" i="2"/>
  <c r="O51" i="2"/>
  <c r="K82" i="2"/>
  <c r="O71" i="2"/>
  <c r="O83" i="2"/>
  <c r="W13" i="2"/>
  <c r="H13" i="2"/>
  <c r="L22" i="2"/>
  <c r="H39" i="2"/>
  <c r="W46" i="2"/>
  <c r="K55" i="2"/>
  <c r="H65" i="2"/>
  <c r="K73" i="2"/>
  <c r="W85" i="2"/>
  <c r="K39" i="2"/>
  <c r="O55" i="2"/>
  <c r="L65" i="2"/>
  <c r="L39" i="2"/>
  <c r="W39" i="2"/>
  <c r="L66" i="2"/>
  <c r="O7" i="2"/>
  <c r="K18" i="2"/>
  <c r="W25" i="2"/>
  <c r="H7" i="2"/>
  <c r="H40" i="2"/>
  <c r="K50" i="2"/>
  <c r="L18" i="2"/>
  <c r="K34" i="2"/>
  <c r="L40" i="2"/>
  <c r="L50" i="2"/>
  <c r="H58" i="2"/>
  <c r="L34" i="2"/>
  <c r="W50" i="2"/>
  <c r="H69" i="2"/>
  <c r="K7" i="2"/>
  <c r="L13" i="2"/>
  <c r="O23" i="2"/>
  <c r="L49" i="2"/>
  <c r="K54" i="2"/>
  <c r="K59" i="2"/>
  <c r="H64" i="2"/>
  <c r="K68" i="2"/>
  <c r="H72" i="2"/>
  <c r="L7" i="2"/>
  <c r="O13" i="2"/>
  <c r="H19" i="2"/>
  <c r="W23" i="2"/>
  <c r="L54" i="2"/>
  <c r="L59" i="2"/>
  <c r="K64" i="2"/>
  <c r="L72" i="2"/>
  <c r="H78" i="2"/>
  <c r="O33" i="2"/>
  <c r="O59" i="2"/>
  <c r="W72" i="2"/>
  <c r="L78" i="2"/>
  <c r="W37" i="2"/>
  <c r="H45" i="2"/>
  <c r="H85" i="2"/>
  <c r="L85" i="2"/>
  <c r="H8" i="2"/>
  <c r="K14" i="2"/>
  <c r="W19" i="2"/>
  <c r="L31" i="2"/>
  <c r="O39" i="2"/>
  <c r="O45" i="2"/>
  <c r="L55" i="2"/>
  <c r="K60" i="2"/>
  <c r="K65" i="2"/>
  <c r="L69" i="2"/>
  <c r="O73" i="2"/>
  <c r="K79" i="2"/>
  <c r="W7" i="2"/>
  <c r="L8" i="2"/>
  <c r="L14" i="2"/>
  <c r="K51" i="2"/>
  <c r="W55" i="2"/>
  <c r="O65" i="2"/>
  <c r="W69" i="2"/>
  <c r="K74" i="2"/>
  <c r="H14" i="2"/>
  <c r="W8" i="2"/>
  <c r="O21" i="2"/>
  <c r="W45" i="2"/>
  <c r="H66" i="2"/>
  <c r="W75" i="2"/>
  <c r="W81" i="2"/>
  <c r="W31" i="2"/>
  <c r="H32" i="2"/>
  <c r="H5" i="2"/>
  <c r="K9" i="2"/>
  <c r="K27" i="2"/>
  <c r="K32" i="2"/>
  <c r="K36" i="2"/>
  <c r="K5" i="2"/>
  <c r="K22" i="2"/>
  <c r="L27" i="2"/>
  <c r="W40" i="2"/>
  <c r="W51" i="2"/>
  <c r="H57" i="2"/>
  <c r="W62" i="2"/>
  <c r="K66" i="2"/>
  <c r="H71" i="2"/>
  <c r="W5" i="2"/>
  <c r="H33" i="2"/>
  <c r="H37" i="2"/>
  <c r="K41" i="2"/>
  <c r="H52" i="2"/>
  <c r="H63" i="2"/>
  <c r="L71" i="2"/>
  <c r="H77" i="2"/>
  <c r="K33" i="2"/>
  <c r="K37" i="2"/>
  <c r="O41" i="2"/>
  <c r="L63" i="2"/>
  <c r="L77" i="2"/>
  <c r="L33" i="2"/>
  <c r="L37" i="2"/>
  <c r="O53" i="2"/>
  <c r="W63" i="2"/>
  <c r="O67" i="2"/>
  <c r="W71" i="2"/>
  <c r="O77" i="2"/>
  <c r="K83" i="2"/>
  <c r="O10" i="2"/>
  <c r="M10" i="2"/>
  <c r="W29" i="2"/>
  <c r="O30" i="2"/>
  <c r="M30" i="2"/>
  <c r="O15" i="2"/>
  <c r="O18" i="2"/>
  <c r="M18" i="2"/>
  <c r="L20" i="2"/>
  <c r="L25" i="2"/>
  <c r="K30" i="2"/>
  <c r="K35" i="2"/>
  <c r="L57" i="2"/>
  <c r="K62" i="2"/>
  <c r="K67" i="2"/>
  <c r="O79" i="2"/>
  <c r="O82" i="2"/>
  <c r="M82" i="2"/>
  <c r="L82" i="2"/>
  <c r="K13" i="2"/>
  <c r="W15" i="2"/>
  <c r="H18" i="2"/>
  <c r="H23" i="2"/>
  <c r="O25" i="2"/>
  <c r="O28" i="2"/>
  <c r="M28" i="2"/>
  <c r="L30" i="2"/>
  <c r="L35" i="2"/>
  <c r="K45" i="2"/>
  <c r="W47" i="2"/>
  <c r="H55" i="2"/>
  <c r="O57" i="2"/>
  <c r="O60" i="2"/>
  <c r="M60" i="2"/>
  <c r="L67" i="2"/>
  <c r="K77" i="2"/>
  <c r="W79" i="2"/>
  <c r="H82" i="2"/>
  <c r="M85" i="2"/>
  <c r="K85" i="2"/>
  <c r="X90" i="2"/>
  <c r="O38" i="2"/>
  <c r="M38" i="2"/>
  <c r="O70" i="2"/>
  <c r="M70" i="2"/>
  <c r="H38" i="2"/>
  <c r="H43" i="2"/>
  <c r="O48" i="2"/>
  <c r="M48" i="2"/>
  <c r="W67" i="2"/>
  <c r="H70" i="2"/>
  <c r="H75" i="2"/>
  <c r="O80" i="2"/>
  <c r="M80" i="2"/>
  <c r="K6" i="2"/>
  <c r="K11" i="2"/>
  <c r="H16" i="2"/>
  <c r="H21" i="2"/>
  <c r="O26" i="2"/>
  <c r="M26" i="2"/>
  <c r="K38" i="2"/>
  <c r="K43" i="2"/>
  <c r="H48" i="2"/>
  <c r="H53" i="2"/>
  <c r="O58" i="2"/>
  <c r="M58" i="2"/>
  <c r="K70" i="2"/>
  <c r="K75" i="2"/>
  <c r="H80" i="2"/>
  <c r="O4" i="2"/>
  <c r="M4" i="2"/>
  <c r="L6" i="2"/>
  <c r="K21" i="2"/>
  <c r="K53" i="2"/>
  <c r="H11" i="2"/>
  <c r="L11" i="2"/>
  <c r="K16" i="2"/>
  <c r="H31" i="2"/>
  <c r="O36" i="2"/>
  <c r="M36" i="2"/>
  <c r="L38" i="2"/>
  <c r="L43" i="2"/>
  <c r="K48" i="2"/>
  <c r="O68" i="2"/>
  <c r="M68" i="2"/>
  <c r="L70" i="2"/>
  <c r="L75" i="2"/>
  <c r="K80" i="2"/>
  <c r="H4" i="2"/>
  <c r="H9" i="2"/>
  <c r="O11" i="2"/>
  <c r="O14" i="2"/>
  <c r="M14" i="2"/>
  <c r="L16" i="2"/>
  <c r="L21" i="2"/>
  <c r="K26" i="2"/>
  <c r="K31" i="2"/>
  <c r="W33" i="2"/>
  <c r="H36" i="2"/>
  <c r="W38" i="2"/>
  <c r="H41" i="2"/>
  <c r="O43" i="2"/>
  <c r="O46" i="2"/>
  <c r="M46" i="2"/>
  <c r="L48" i="2"/>
  <c r="L53" i="2"/>
  <c r="K58" i="2"/>
  <c r="K63" i="2"/>
  <c r="W65" i="2"/>
  <c r="H68" i="2"/>
  <c r="W70" i="2"/>
  <c r="H73" i="2"/>
  <c r="O75" i="2"/>
  <c r="O78" i="2"/>
  <c r="M78" i="2"/>
  <c r="L80" i="2"/>
  <c r="H83" i="2"/>
  <c r="W11" i="2"/>
  <c r="O56" i="2"/>
  <c r="M56" i="2"/>
  <c r="W43" i="2"/>
  <c r="L4" i="2"/>
  <c r="L9" i="2"/>
  <c r="W21" i="2"/>
  <c r="W26" i="2"/>
  <c r="H29" i="2"/>
  <c r="O31" i="2"/>
  <c r="O34" i="2"/>
  <c r="M34" i="2"/>
  <c r="L36" i="2"/>
  <c r="L41" i="2"/>
  <c r="W53" i="2"/>
  <c r="H56" i="2"/>
  <c r="W58" i="2"/>
  <c r="H61" i="2"/>
  <c r="O63" i="2"/>
  <c r="O66" i="2"/>
  <c r="M66" i="2"/>
  <c r="L68" i="2"/>
  <c r="L73" i="2"/>
  <c r="K78" i="2"/>
  <c r="L83" i="2"/>
  <c r="O24" i="2"/>
  <c r="M24" i="2"/>
  <c r="O9" i="2"/>
  <c r="O12" i="2"/>
  <c r="M12" i="2"/>
  <c r="O44" i="2"/>
  <c r="M44" i="2"/>
  <c r="K56" i="2"/>
  <c r="K61" i="2"/>
  <c r="O76" i="2"/>
  <c r="M76" i="2"/>
  <c r="K24" i="2"/>
  <c r="K29" i="2"/>
  <c r="W9" i="2"/>
  <c r="O22" i="2"/>
  <c r="M22" i="2"/>
  <c r="L24" i="2"/>
  <c r="L29" i="2"/>
  <c r="W41" i="2"/>
  <c r="H44" i="2"/>
  <c r="H49" i="2"/>
  <c r="O54" i="2"/>
  <c r="M54" i="2"/>
  <c r="L56" i="2"/>
  <c r="L61" i="2"/>
  <c r="W73" i="2"/>
  <c r="H76" i="2"/>
  <c r="H81" i="2"/>
  <c r="W83" i="2"/>
  <c r="W4" i="2"/>
  <c r="H12" i="2"/>
  <c r="H17" i="2"/>
  <c r="K12" i="2"/>
  <c r="K17" i="2"/>
  <c r="H22" i="2"/>
  <c r="W24" i="2"/>
  <c r="H27" i="2"/>
  <c r="O29" i="2"/>
  <c r="O32" i="2"/>
  <c r="M32" i="2"/>
  <c r="K44" i="2"/>
  <c r="K49" i="2"/>
  <c r="H54" i="2"/>
  <c r="W56" i="2"/>
  <c r="H59" i="2"/>
  <c r="O61" i="2"/>
  <c r="O64" i="2"/>
  <c r="M64" i="2"/>
  <c r="K76" i="2"/>
  <c r="K81" i="2"/>
  <c r="O42" i="2"/>
  <c r="M42" i="2"/>
  <c r="W61" i="2"/>
  <c r="O74" i="2"/>
  <c r="M74" i="2"/>
  <c r="L76" i="2"/>
  <c r="L81" i="2"/>
  <c r="O84" i="2"/>
  <c r="L84" i="2"/>
  <c r="M84" i="2"/>
  <c r="H10" i="2"/>
  <c r="W12" i="2"/>
  <c r="H15" i="2"/>
  <c r="O17" i="2"/>
  <c r="O20" i="2"/>
  <c r="M20" i="2"/>
  <c r="H42" i="2"/>
  <c r="W44" i="2"/>
  <c r="H47" i="2"/>
  <c r="O49" i="2"/>
  <c r="O52" i="2"/>
  <c r="M52" i="2"/>
  <c r="H74" i="2"/>
  <c r="W76" i="2"/>
  <c r="H79" i="2"/>
  <c r="O81" i="2"/>
  <c r="H84" i="2"/>
  <c r="O6" i="2"/>
  <c r="M6" i="2"/>
  <c r="O16" i="2"/>
  <c r="M16" i="2"/>
  <c r="K10" i="2"/>
  <c r="K15" i="2"/>
  <c r="W17" i="2"/>
  <c r="H20" i="2"/>
  <c r="K42" i="2"/>
  <c r="K47" i="2"/>
  <c r="W49" i="2"/>
  <c r="H6" i="2"/>
  <c r="H25" i="2"/>
  <c r="O62" i="2"/>
  <c r="M62" i="2"/>
  <c r="O5" i="2"/>
  <c r="O8" i="2"/>
  <c r="M8" i="2"/>
  <c r="L10" i="2"/>
  <c r="L15" i="2"/>
  <c r="K20" i="2"/>
  <c r="K25" i="2"/>
  <c r="W27" i="2"/>
  <c r="H30" i="2"/>
  <c r="W32" i="2"/>
  <c r="H35" i="2"/>
  <c r="O37" i="2"/>
  <c r="O40" i="2"/>
  <c r="M40" i="2"/>
  <c r="L42" i="2"/>
  <c r="L47" i="2"/>
  <c r="K52" i="2"/>
  <c r="K57" i="2"/>
  <c r="W59" i="2"/>
  <c r="H62" i="2"/>
  <c r="W64" i="2"/>
  <c r="H67" i="2"/>
  <c r="O72" i="2"/>
  <c r="M72" i="2"/>
  <c r="L74" i="2"/>
  <c r="L79" i="2"/>
  <c r="W84" i="2"/>
  <c r="W10" i="2"/>
  <c r="O47" i="2"/>
  <c r="O50" i="2"/>
  <c r="M50" i="2"/>
  <c r="L52" i="2"/>
</calcChain>
</file>

<file path=xl/sharedStrings.xml><?xml version="1.0" encoding="utf-8"?>
<sst xmlns="http://schemas.openxmlformats.org/spreadsheetml/2006/main" count="346" uniqueCount="166">
  <si>
    <t>№</t>
  </si>
  <si>
    <t>Объект</t>
  </si>
  <si>
    <t>Всего</t>
  </si>
  <si>
    <t>Наличие</t>
  </si>
  <si>
    <t>Нет</t>
  </si>
  <si>
    <t>Аварийных</t>
  </si>
  <si>
    <t>Треб. рем.</t>
  </si>
  <si>
    <t>Работосп.</t>
  </si>
  <si>
    <t>Ср. износ</t>
  </si>
  <si>
    <t>Мустакиллик ХПЗ</t>
  </si>
  <si>
    <t>Улугбекдон</t>
  </si>
  <si>
    <t>Кетмонтепа ХПП</t>
  </si>
  <si>
    <t>Беруний ХПП</t>
  </si>
  <si>
    <t>Дустобод ХПП</t>
  </si>
  <si>
    <t>Ужакент МТП</t>
  </si>
  <si>
    <t>Ужакент МТП химия</t>
  </si>
  <si>
    <t>Ужакент заправка</t>
  </si>
  <si>
    <t>Район</t>
  </si>
  <si>
    <t>Куйи Чирчик</t>
  </si>
  <si>
    <t>Чиназ</t>
  </si>
  <si>
    <t>Заправка ГСМ</t>
  </si>
  <si>
    <t>Офис</t>
  </si>
  <si>
    <t>МТП</t>
  </si>
  <si>
    <t xml:space="preserve">Принадлежность </t>
  </si>
  <si>
    <t>аренда</t>
  </si>
  <si>
    <t>Аккурган</t>
  </si>
  <si>
    <t>Бекабад</t>
  </si>
  <si>
    <t>Склад</t>
  </si>
  <si>
    <t>АЗС</t>
  </si>
  <si>
    <t xml:space="preserve">Куйичирчик </t>
  </si>
  <si>
    <t>Биолаборатория</t>
  </si>
  <si>
    <t>собственный</t>
  </si>
  <si>
    <t>Coments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</si>
  <si>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</si>
  <si>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</si>
  <si>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</si>
  <si>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</si>
  <si>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</si>
  <si>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</si>
  <si>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</si>
  <si>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</si>
  <si>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</si>
  <si>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</si>
  <si>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</si>
  <si>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</si>
  <si>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</si>
  <si>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</si>
  <si>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</si>
  <si>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</si>
  <si>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</si>
  <si>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Арматура</t>
  </si>
  <si>
    <t>А3 д.14</t>
  </si>
  <si>
    <t>тн</t>
  </si>
  <si>
    <t>А3 д.8</t>
  </si>
  <si>
    <t>А1 д.8</t>
  </si>
  <si>
    <t>А1 д.10</t>
  </si>
  <si>
    <t>А3 д.12</t>
  </si>
  <si>
    <t>А3 д.22</t>
  </si>
  <si>
    <t>А1 д.6</t>
  </si>
  <si>
    <t>А3 д.20</t>
  </si>
  <si>
    <t>А3 д.16</t>
  </si>
  <si>
    <t>А3 д.10</t>
  </si>
  <si>
    <t>А3 д.25</t>
  </si>
  <si>
    <t>А3 д.28</t>
  </si>
  <si>
    <t>А3 д.18</t>
  </si>
  <si>
    <t>Вяз.проволока</t>
  </si>
  <si>
    <t>д.1,2</t>
  </si>
  <si>
    <t>Осевая проволока</t>
  </si>
  <si>
    <t>д.3</t>
  </si>
  <si>
    <t>Сетка кладочная</t>
  </si>
  <si>
    <t>12х30</t>
  </si>
  <si>
    <t>п.м.</t>
  </si>
  <si>
    <t>Дорожная сетка</t>
  </si>
  <si>
    <t>ВР1</t>
  </si>
  <si>
    <t>м2</t>
  </si>
  <si>
    <t>Колонна</t>
  </si>
  <si>
    <t>400х400х8200</t>
  </si>
  <si>
    <t>шт</t>
  </si>
  <si>
    <t>фахверк</t>
  </si>
  <si>
    <t>КФ</t>
  </si>
  <si>
    <t>Металоконструкция</t>
  </si>
  <si>
    <t>Фермы</t>
  </si>
  <si>
    <t xml:space="preserve">Гунтовка по металлу </t>
  </si>
  <si>
    <t>ГФ-021</t>
  </si>
  <si>
    <t>Электроы сварочные</t>
  </si>
  <si>
    <t>Ø4 мм, кг</t>
  </si>
  <si>
    <t>кг</t>
  </si>
  <si>
    <t>Ø3 мм, кг</t>
  </si>
  <si>
    <t>Диск отрезной</t>
  </si>
  <si>
    <t>d-230 мм</t>
  </si>
  <si>
    <t>МеталПрофиль</t>
  </si>
  <si>
    <t>80х80х3</t>
  </si>
  <si>
    <t>120х80х3</t>
  </si>
  <si>
    <t>100х100х4</t>
  </si>
  <si>
    <t>40х40х4</t>
  </si>
  <si>
    <t>60х60х4</t>
  </si>
  <si>
    <t>100х60х4</t>
  </si>
  <si>
    <t>материал</t>
  </si>
  <si>
    <t>Листовой метал</t>
  </si>
  <si>
    <t>Сендвич кровельный</t>
  </si>
  <si>
    <t>PUR, 80 mm</t>
  </si>
  <si>
    <t>кв.м</t>
  </si>
  <si>
    <t>Сендвич стеновой</t>
  </si>
  <si>
    <t>PUR, 50 mm</t>
  </si>
  <si>
    <t>PP, 80 mm</t>
  </si>
  <si>
    <t>PP, 50 mm</t>
  </si>
  <si>
    <t>Битум</t>
  </si>
  <si>
    <t>изоляционный</t>
  </si>
  <si>
    <t>Топинг</t>
  </si>
  <si>
    <t>Sikafloor Chapdur (grey)</t>
  </si>
  <si>
    <t>Лак</t>
  </si>
  <si>
    <t>Sika Top 71 Curing</t>
  </si>
  <si>
    <t>литр</t>
  </si>
  <si>
    <t>Герметик</t>
  </si>
  <si>
    <t>Sikaflex Pro3 i-cure 600ml</t>
  </si>
  <si>
    <t>Шлакоблок</t>
  </si>
  <si>
    <t>под расшивку</t>
  </si>
  <si>
    <t>обычный</t>
  </si>
  <si>
    <t>Кирпич жженный</t>
  </si>
  <si>
    <t>250х125х90</t>
  </si>
  <si>
    <t>Газоблок</t>
  </si>
  <si>
    <t>650х250х200</t>
  </si>
  <si>
    <t>м3</t>
  </si>
  <si>
    <t>Бетон</t>
  </si>
  <si>
    <t>В-7,5 (М-100)</t>
  </si>
  <si>
    <t>куб.м</t>
  </si>
  <si>
    <t>В-10 (М-150)</t>
  </si>
  <si>
    <t>В-15 (М-200)</t>
  </si>
  <si>
    <t>В-20 (М-250)</t>
  </si>
  <si>
    <t>В-22,5 (М-300)</t>
  </si>
  <si>
    <t>В-25 (М-350)</t>
  </si>
  <si>
    <t>Добавка</t>
  </si>
  <si>
    <t>РС 08 SG7</t>
  </si>
  <si>
    <t>РС 15</t>
  </si>
  <si>
    <t>ЖБ плита перекрытия</t>
  </si>
  <si>
    <t>П-1 (6565х1200-6AIII-C9)</t>
  </si>
  <si>
    <t>П-2 (6565х1000-6AIII-C9)</t>
  </si>
  <si>
    <t>П-1 (5860х1200-6AIII-C9)</t>
  </si>
  <si>
    <t>П-2 (5860х1000-6AIII-C9)</t>
  </si>
  <si>
    <t>бетонный колодец</t>
  </si>
  <si>
    <t>d-1500, h-900</t>
  </si>
  <si>
    <t>d-1000, h-900</t>
  </si>
  <si>
    <t>Плита перекрытия для колодцев</t>
  </si>
  <si>
    <t>1200х1200х200</t>
  </si>
  <si>
    <t>1700х1700х200</t>
  </si>
  <si>
    <t>финская фанера</t>
  </si>
  <si>
    <t>1220х2440х18</t>
  </si>
  <si>
    <t>Фундамент</t>
  </si>
  <si>
    <t>стаканного типа</t>
  </si>
  <si>
    <t>зарплата</t>
  </si>
  <si>
    <t xml:space="preserve">Кровля </t>
  </si>
  <si>
    <t>Металлические фермы</t>
  </si>
  <si>
    <t>Сэндвич панели</t>
  </si>
  <si>
    <t>Металлические прогоны</t>
  </si>
  <si>
    <t>пм</t>
  </si>
  <si>
    <t>Металлические связи</t>
  </si>
  <si>
    <t>Подпольные каналы</t>
  </si>
  <si>
    <t>Монолитные каналы</t>
  </si>
  <si>
    <t>Пол</t>
  </si>
  <si>
    <t>Монолитный пол</t>
  </si>
  <si>
    <t>Каркас</t>
  </si>
  <si>
    <t>ЖБ колонны</t>
  </si>
  <si>
    <t>Наименование</t>
  </si>
  <si>
    <t>Параметры</t>
  </si>
  <si>
    <t>Ед.изм</t>
  </si>
  <si>
    <t>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</si>
</sst>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43" fontId="0" fillId="0" borderId="1" xfId="1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 applyAlignment="1">
      <alignment vertical="center" wrapText="1"/>
    </xf>
    <xf numFmtId="43" fontId="0" fillId="0" borderId="1" xfId="1" applyFont="1" applyFill="1" applyBorder="1" applyAlignment="1">
      <alignment vertical="center" wrapText="1"/>
    </xf>
    <xf numFmtId="43" fontId="0" fillId="0" borderId="1" xfId="1" applyFont="1" applyBorder="1"/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4" fillId="0" borderId="0" xfId="2" applyFont="1" applyAlignment="1">
      <alignment vertical="center" wrapText="1"/>
    </xf>
    <xf numFmtId="0" fontId="4" fillId="0" borderId="0" xfId="2" applyFont="1" applyAlignment="1">
      <alignment horizontal="center" vertical="center" wrapText="1"/>
    </xf>
    <xf numFmtId="43" fontId="4" fillId="0" borderId="0" xfId="1" applyFont="1" applyBorder="1" applyAlignment="1">
      <alignment horizontal="right" vertical="center" wrapText="1"/>
    </xf>
    <xf numFmtId="43" fontId="4" fillId="0" borderId="0" xfId="1" applyFont="1" applyBorder="1" applyAlignment="1">
      <alignment vertical="center" wrapText="1"/>
    </xf>
    <xf numFmtId="0" fontId="4" fillId="0" borderId="0" xfId="2" applyFont="1" applyAlignment="1">
      <alignment wrapText="1"/>
    </xf>
    <xf numFmtId="0" fontId="4" fillId="0" borderId="0" xfId="2" applyFont="1" applyAlignment="1">
      <alignment horizontal="center" wrapText="1"/>
    </xf>
    <xf numFmtId="0" fontId="4" fillId="0" borderId="0" xfId="0" quotePrefix="1" applyFont="1"/>
    <xf numFmtId="0" fontId="4" fillId="4" borderId="0" xfId="2" applyFont="1" applyFill="1" applyAlignment="1">
      <alignment vertical="center" wrapText="1"/>
    </xf>
    <xf numFmtId="43" fontId="4" fillId="0" borderId="0" xfId="1" applyFont="1" applyBorder="1"/>
  </cellXfs>
  <cellStyles count="3">
    <cellStyle name="Обычный" xfId="0" builtinId="0"/>
    <cellStyle name="Обычный 4" xfId="2" xr:uid="{D3E50E7F-2AEE-4BD4-9095-4152D26DA3AA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H_resource_0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бъекты"/>
      <sheetName val="C0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C15"/>
      <sheetName val="C16"/>
      <sheetName val="C17"/>
      <sheetName val="ТМЦ"/>
      <sheetName val="Зарплата"/>
      <sheetName val="сборные элементы"/>
      <sheetName val="Разделы СМР"/>
    </sheetNames>
    <sheetDataSet>
      <sheetData sheetId="0"/>
      <sheetData sheetId="1"/>
      <sheetData sheetId="2">
        <row r="4">
          <cell r="H4" t="str">
            <v>Арматура / А3 д.14 (тн)</v>
          </cell>
          <cell r="L4">
            <v>3.596238915869062</v>
          </cell>
        </row>
        <row r="5">
          <cell r="H5" t="str">
            <v>Арматура / А3 д.14 (тн)</v>
          </cell>
          <cell r="L5">
            <v>1.624107897489254</v>
          </cell>
        </row>
        <row r="6">
          <cell r="H6" t="str">
            <v>Арматура / А3 д.14 (тн)</v>
          </cell>
          <cell r="L6">
            <v>4.5359013422735579</v>
          </cell>
        </row>
        <row r="7">
          <cell r="H7" t="str">
            <v>Арматура / А3 д.14 (тн)</v>
          </cell>
          <cell r="L7">
            <v>1.9674907101012677</v>
          </cell>
        </row>
        <row r="8">
          <cell r="H8" t="str">
            <v>Арматура / А3 д.8 (тн)</v>
          </cell>
          <cell r="L8">
            <v>0.43334797311433382</v>
          </cell>
        </row>
        <row r="9">
          <cell r="H9" t="str">
            <v>Арматура / А3 д.14 (тн)</v>
          </cell>
          <cell r="L9">
            <v>3.8978589539742092</v>
          </cell>
        </row>
        <row r="10">
          <cell r="H10" t="str">
            <v>Вяз.проволока / д.1,2 (тн)</v>
          </cell>
          <cell r="L10">
            <v>1.6054945792821687</v>
          </cell>
        </row>
        <row r="11">
          <cell r="H11" t="str">
            <v>Бетон / В-20 (М-250) (куб.м)</v>
          </cell>
          <cell r="L11">
            <v>364.79999999999995</v>
          </cell>
        </row>
        <row r="12">
          <cell r="H12" t="str">
            <v>Бетон / В-7,5 (М-100) (куб.м)</v>
          </cell>
          <cell r="L12">
            <v>38.400000000000006</v>
          </cell>
        </row>
        <row r="13">
          <cell r="H13" t="str">
            <v>Добавка / РС 08 SG7 (тн)</v>
          </cell>
          <cell r="L13">
            <v>0</v>
          </cell>
        </row>
        <row r="14">
          <cell r="H14" t="str">
            <v>Битум / изоляционный (тн)</v>
          </cell>
          <cell r="L14">
            <v>2.88</v>
          </cell>
        </row>
        <row r="15">
          <cell r="H15" t="str">
            <v>Фундамент / стаканного типа (шт)</v>
          </cell>
          <cell r="L15">
            <v>48</v>
          </cell>
        </row>
        <row r="16">
          <cell r="H16" t="str">
            <v>Арматура / А3 д.14 (тн)</v>
          </cell>
          <cell r="L16">
            <v>13.485895934508983</v>
          </cell>
        </row>
        <row r="17">
          <cell r="H17" t="str">
            <v>Арматура / А3 д.14 (тн)</v>
          </cell>
          <cell r="L17">
            <v>6.0904046155847018</v>
          </cell>
        </row>
        <row r="18">
          <cell r="H18" t="str">
            <v>Арматура / А3 д.14 (тн)</v>
          </cell>
          <cell r="L18">
            <v>17.009630033525845</v>
          </cell>
        </row>
        <row r="19">
          <cell r="H19" t="str">
            <v>Арматура / А3 д.14 (тн)</v>
          </cell>
          <cell r="L19">
            <v>7.3780901628797544</v>
          </cell>
        </row>
        <row r="20">
          <cell r="H20" t="str">
            <v>Арматура / А3 д.8 (тн)</v>
          </cell>
          <cell r="L20">
            <v>1.6250548991787519</v>
          </cell>
        </row>
        <row r="21">
          <cell r="H21" t="str">
            <v>Арматура / А3 д.14 (тн)</v>
          </cell>
          <cell r="L21">
            <v>14.616971077403285</v>
          </cell>
        </row>
        <row r="22">
          <cell r="H22" t="str">
            <v>Вяз.проволока / д.1,2 (тн)</v>
          </cell>
          <cell r="L22">
            <v>6.0206046723081332</v>
          </cell>
        </row>
        <row r="23">
          <cell r="H23" t="str">
            <v>Бетон / В-20 (М-250) (куб.м)</v>
          </cell>
          <cell r="L23">
            <v>1368</v>
          </cell>
        </row>
        <row r="24">
          <cell r="H24" t="str">
            <v>Бетон / В-7,5 (М-100) (куб.м)</v>
          </cell>
          <cell r="L24">
            <v>144</v>
          </cell>
        </row>
        <row r="25">
          <cell r="H25" t="str">
            <v>Добавка / РС 08 SG7 (тн)</v>
          </cell>
          <cell r="L25">
            <v>0</v>
          </cell>
        </row>
        <row r="26">
          <cell r="H26" t="str">
            <v>Битум / изоляционный (тн)</v>
          </cell>
          <cell r="L26">
            <v>10.799999999999999</v>
          </cell>
        </row>
        <row r="27">
          <cell r="H27" t="str">
            <v>Фундамент / стаканного типа (шт)</v>
          </cell>
          <cell r="L27">
            <v>180</v>
          </cell>
        </row>
        <row r="28">
          <cell r="H28" t="str">
            <v>Арматура / А3 д.14 (тн)</v>
          </cell>
          <cell r="L28">
            <v>1.4984328816121093</v>
          </cell>
        </row>
        <row r="29">
          <cell r="H29" t="str">
            <v>Арматура / А3 д.14 (тн)</v>
          </cell>
          <cell r="L29">
            <v>0.67671162395385576</v>
          </cell>
        </row>
        <row r="30">
          <cell r="H30" t="str">
            <v>Арматура / А3 д.14 (тн)</v>
          </cell>
          <cell r="L30">
            <v>1.8899588926139828</v>
          </cell>
        </row>
        <row r="31">
          <cell r="H31" t="str">
            <v>Арматура / А3 д.14 (тн)</v>
          </cell>
          <cell r="L31">
            <v>0.8197877958755283</v>
          </cell>
        </row>
        <row r="32">
          <cell r="H32" t="str">
            <v>Арматура / А3 д.8 (тн)</v>
          </cell>
          <cell r="L32">
            <v>0.18056165546430578</v>
          </cell>
        </row>
        <row r="33">
          <cell r="H33" t="str">
            <v>Арматура / А3 д.14 (тн)</v>
          </cell>
          <cell r="L33">
            <v>1.624107897489254</v>
          </cell>
        </row>
        <row r="34">
          <cell r="H34" t="str">
            <v>Вяз.проволока / д.1,2 (тн)</v>
          </cell>
          <cell r="L34">
            <v>0.66895607470090368</v>
          </cell>
        </row>
        <row r="35">
          <cell r="H35" t="str">
            <v>Бетон / В-20 (М-250) (куб.м)</v>
          </cell>
          <cell r="L35">
            <v>152</v>
          </cell>
        </row>
        <row r="36">
          <cell r="H36" t="str">
            <v>Бетон / В-7,5 (М-100) (куб.м)</v>
          </cell>
          <cell r="L36">
            <v>16</v>
          </cell>
        </row>
        <row r="37">
          <cell r="H37" t="str">
            <v>Добавка / РС 08 SG7 (тн)</v>
          </cell>
          <cell r="L37">
            <v>0</v>
          </cell>
        </row>
        <row r="38">
          <cell r="H38" t="str">
            <v>Битум / изоляционный (тн)</v>
          </cell>
          <cell r="L38">
            <v>1.2</v>
          </cell>
        </row>
        <row r="39">
          <cell r="H39" t="str">
            <v>Фундамент / стаканного типа (шт)</v>
          </cell>
          <cell r="L39">
            <v>20</v>
          </cell>
        </row>
        <row r="40">
          <cell r="H40" t="str">
            <v>Гунтовка по металлу  / ГФ-021 (тн)</v>
          </cell>
          <cell r="L40">
            <v>159.51102720000003</v>
          </cell>
        </row>
        <row r="41">
          <cell r="L41">
            <v>60.39392256</v>
          </cell>
        </row>
        <row r="42">
          <cell r="H42" t="str">
            <v>Электроы сварочные / Ø4 мм, кг (кг)</v>
          </cell>
          <cell r="L42">
            <v>35.203645439999988</v>
          </cell>
        </row>
        <row r="43">
          <cell r="H43" t="str">
            <v>Электроы сварочные / Ø4 мм, кг (кг)</v>
          </cell>
          <cell r="L43">
            <v>386.86064640000001</v>
          </cell>
        </row>
        <row r="44">
          <cell r="H44" t="str">
            <v>Диск отрезной / d-230 мм (шт)</v>
          </cell>
          <cell r="L44">
            <v>96</v>
          </cell>
        </row>
        <row r="45">
          <cell r="H45" t="str">
            <v>Листовой метал /  (тн)</v>
          </cell>
          <cell r="L45">
            <v>768.91315199999997</v>
          </cell>
        </row>
        <row r="46">
          <cell r="H46" t="str">
            <v>Листовой метал /  (тн)</v>
          </cell>
          <cell r="L46">
            <v>349.67040000000003</v>
          </cell>
        </row>
        <row r="47">
          <cell r="H47" t="str">
            <v>Листовой метал /  (тн)</v>
          </cell>
          <cell r="L47">
            <v>1088.8012799999997</v>
          </cell>
        </row>
        <row r="48">
          <cell r="H48" t="str">
            <v>Листовой метал /  (тн)</v>
          </cell>
          <cell r="L48">
            <v>390.66624000000002</v>
          </cell>
        </row>
        <row r="49">
          <cell r="H49" t="str">
            <v>МеталПрофиль / 80х80х3 (п.м.)</v>
          </cell>
          <cell r="L49">
            <v>1321.28</v>
          </cell>
        </row>
        <row r="50">
          <cell r="H50" t="str">
            <v>МеталПрофиль / 100х100х4 (п.м.)</v>
          </cell>
          <cell r="L50">
            <v>1536</v>
          </cell>
        </row>
        <row r="51">
          <cell r="H51" t="str">
            <v>Кровля  / Металлические фермы (тн)</v>
          </cell>
          <cell r="L51">
            <v>32</v>
          </cell>
        </row>
        <row r="52">
          <cell r="H52" t="str">
            <v>Гунтовка по металлу  / ГФ-021 (тн)</v>
          </cell>
          <cell r="L52">
            <v>717.79962240000009</v>
          </cell>
        </row>
        <row r="53">
          <cell r="L53">
            <v>271.77265152000001</v>
          </cell>
        </row>
        <row r="54">
          <cell r="H54" t="str">
            <v>Электроы сварочные / Ø4 мм, кг (кг)</v>
          </cell>
          <cell r="L54">
            <v>158.41640447999995</v>
          </cell>
        </row>
        <row r="55">
          <cell r="H55" t="str">
            <v>Электроы сварочные / Ø4 мм, кг (кг)</v>
          </cell>
          <cell r="L55">
            <v>1740.8729088</v>
          </cell>
        </row>
        <row r="56">
          <cell r="H56" t="str">
            <v>Диск отрезной / d-230 мм (шт)</v>
          </cell>
          <cell r="L56">
            <v>432</v>
          </cell>
        </row>
        <row r="57">
          <cell r="H57" t="str">
            <v>Листовой метал /  (тн)</v>
          </cell>
          <cell r="L57">
            <v>3460.1091839999999</v>
          </cell>
        </row>
        <row r="58">
          <cell r="H58" t="str">
            <v>Листовой метал /  (тн)</v>
          </cell>
          <cell r="L58">
            <v>1573.5168000000001</v>
          </cell>
        </row>
        <row r="59">
          <cell r="H59" t="str">
            <v>Листовой метал /  (тн)</v>
          </cell>
          <cell r="L59">
            <v>4899.6057599999986</v>
          </cell>
        </row>
        <row r="60">
          <cell r="H60" t="str">
            <v>Листовой метал /  (тн)</v>
          </cell>
          <cell r="L60">
            <v>1757.9980800000001</v>
          </cell>
        </row>
        <row r="61">
          <cell r="H61" t="str">
            <v>МеталПрофиль / 80х80х3 (п.м.)</v>
          </cell>
          <cell r="L61">
            <v>5945.76</v>
          </cell>
        </row>
        <row r="62">
          <cell r="H62" t="str">
            <v>МеталПрофиль / 100х100х4 (п.м.)</v>
          </cell>
          <cell r="L62">
            <v>6912</v>
          </cell>
        </row>
        <row r="63">
          <cell r="H63" t="str">
            <v>Кровля  / Металлические фермы (тн)</v>
          </cell>
          <cell r="L63">
            <v>144</v>
          </cell>
        </row>
        <row r="64">
          <cell r="H64" t="str">
            <v>Гунтовка по металлу  / ГФ-021 (тн)</v>
          </cell>
          <cell r="L64">
            <v>79.755513600000015</v>
          </cell>
        </row>
        <row r="65">
          <cell r="L65">
            <v>30.19696128</v>
          </cell>
        </row>
        <row r="66">
          <cell r="H66" t="str">
            <v>Электроы сварочные / Ø4 мм, кг (кг)</v>
          </cell>
          <cell r="L66">
            <v>17.601822719999994</v>
          </cell>
        </row>
        <row r="67">
          <cell r="H67" t="str">
            <v>Электроы сварочные / Ø4 мм, кг (кг)</v>
          </cell>
          <cell r="L67">
            <v>193.4303232</v>
          </cell>
        </row>
        <row r="68">
          <cell r="H68" t="str">
            <v>Диск отрезной / d-230 мм (шт)</v>
          </cell>
          <cell r="L68">
            <v>48</v>
          </cell>
        </row>
        <row r="69">
          <cell r="H69" t="str">
            <v>Листовой метал /  (тн)</v>
          </cell>
          <cell r="L69">
            <v>384.45657599999998</v>
          </cell>
        </row>
        <row r="70">
          <cell r="H70" t="str">
            <v>Листовой метал /  (тн)</v>
          </cell>
          <cell r="L70">
            <v>174.83520000000001</v>
          </cell>
        </row>
        <row r="71">
          <cell r="H71" t="str">
            <v>Листовой метал /  (тн)</v>
          </cell>
          <cell r="L71">
            <v>544.40063999999984</v>
          </cell>
        </row>
        <row r="72">
          <cell r="H72" t="str">
            <v>Листовой метал /  (тн)</v>
          </cell>
          <cell r="L72">
            <v>195.33312000000001</v>
          </cell>
        </row>
        <row r="73">
          <cell r="H73" t="str">
            <v>МеталПрофиль / 80х80х3 (п.м.)</v>
          </cell>
          <cell r="L73">
            <v>660.64</v>
          </cell>
        </row>
        <row r="74">
          <cell r="H74" t="str">
            <v>МеталПрофиль / 100х100х4 (п.м.)</v>
          </cell>
          <cell r="L74">
            <v>768</v>
          </cell>
        </row>
        <row r="75">
          <cell r="H75" t="str">
            <v>Кровля  / Металлические фермы (тн)</v>
          </cell>
          <cell r="L75">
            <v>16</v>
          </cell>
        </row>
        <row r="76">
          <cell r="H76" t="str">
            <v>Сендвич кровельный / PUR, 80 mm (кв.м)</v>
          </cell>
          <cell r="L76">
            <v>3054</v>
          </cell>
        </row>
        <row r="77">
          <cell r="H77" t="str">
            <v>Кровля  / Сэндвич панели (м2)</v>
          </cell>
          <cell r="L77">
            <v>3054</v>
          </cell>
        </row>
        <row r="78">
          <cell r="H78" t="str">
            <v>Сендвич кровельный / PUR, 80 mm (кв.м)</v>
          </cell>
          <cell r="L78">
            <v>15515.5</v>
          </cell>
        </row>
        <row r="79">
          <cell r="H79" t="str">
            <v>Кровля  / Сэндвич панели (м2)</v>
          </cell>
          <cell r="L79">
            <v>15515.5</v>
          </cell>
        </row>
        <row r="80">
          <cell r="H80" t="str">
            <v>Сендвич кровельный / PUR, 80 mm (кв.м)</v>
          </cell>
          <cell r="L80">
            <v>1395</v>
          </cell>
        </row>
        <row r="81">
          <cell r="H81" t="str">
            <v>Кровля  / Сэндвич панели (м2)</v>
          </cell>
          <cell r="L81">
            <v>1395</v>
          </cell>
        </row>
        <row r="82">
          <cell r="H82" t="str">
            <v>МеталПрофиль / 120х80х3 (п.м.)</v>
          </cell>
          <cell r="L82">
            <v>3461.2</v>
          </cell>
        </row>
        <row r="83">
          <cell r="H83" t="str">
            <v>Кровля  / Металлические прогоны (пм)</v>
          </cell>
          <cell r="L83">
            <v>3461.2</v>
          </cell>
        </row>
        <row r="84">
          <cell r="H84" t="str">
            <v>МеталПрофиль / 120х80х3 (п.м.)</v>
          </cell>
          <cell r="L84">
            <v>17617.599999999999</v>
          </cell>
        </row>
        <row r="85">
          <cell r="H85" t="str">
            <v>Кровля  / Металлические прогоны (пм)</v>
          </cell>
          <cell r="L85">
            <v>17617.599999999999</v>
          </cell>
        </row>
        <row r="86">
          <cell r="H86" t="str">
            <v>МеталПрофиль / 120х80х3 (п.м.)</v>
          </cell>
          <cell r="L86">
            <v>1584</v>
          </cell>
        </row>
        <row r="87">
          <cell r="H87" t="str">
            <v>Кровля  / Металлические прогоны (пм)</v>
          </cell>
          <cell r="L87">
            <v>1584</v>
          </cell>
        </row>
        <row r="88">
          <cell r="H88" t="str">
            <v>МеталПрофиль / 80х80х3 (п.м.)</v>
          </cell>
          <cell r="L88">
            <v>1153.73</v>
          </cell>
        </row>
        <row r="89">
          <cell r="H89" t="str">
            <v>Кровля  / Металлические связи (пм)</v>
          </cell>
          <cell r="L89">
            <v>1153.73</v>
          </cell>
        </row>
        <row r="90">
          <cell r="H90" t="str">
            <v>МеталПрофиль / 80х80х3 (п.м.)</v>
          </cell>
          <cell r="L90">
            <v>5872.53</v>
          </cell>
        </row>
        <row r="91">
          <cell r="H91" t="str">
            <v>Кровля  / Металлические связи (пм)</v>
          </cell>
          <cell r="L91">
            <v>5872.53</v>
          </cell>
        </row>
        <row r="92">
          <cell r="H92" t="str">
            <v>МеталПрофиль / 80х80х3 (п.м.)</v>
          </cell>
          <cell r="L92">
            <v>528</v>
          </cell>
        </row>
        <row r="93">
          <cell r="H93" t="str">
            <v>Кровля  / Металлические связи (пм)</v>
          </cell>
          <cell r="L93">
            <v>528</v>
          </cell>
        </row>
        <row r="94">
          <cell r="H94" t="str">
            <v>Бетон / В-7,5 (М-100) (куб.м)</v>
          </cell>
          <cell r="L94">
            <v>24.32</v>
          </cell>
        </row>
        <row r="95">
          <cell r="H95" t="str">
            <v>Арматура / А3 д.14 (тн)</v>
          </cell>
          <cell r="L95">
            <v>6.8970000000000002</v>
          </cell>
        </row>
        <row r="96">
          <cell r="H96" t="str">
            <v>Бетон / В-20 (М-250) (куб.м)</v>
          </cell>
          <cell r="L96">
            <v>45.6</v>
          </cell>
        </row>
        <row r="97">
          <cell r="H97" t="str">
            <v>Арматура / А3 д.14 (тн)</v>
          </cell>
          <cell r="L97">
            <v>14.7136</v>
          </cell>
        </row>
        <row r="98">
          <cell r="H98" t="str">
            <v>Бетон / В-20 (М-250) (куб.м)</v>
          </cell>
          <cell r="L98">
            <v>97.28</v>
          </cell>
        </row>
        <row r="99">
          <cell r="H99" t="str">
            <v>Подпольные каналы / Монолитные каналы (пм)</v>
          </cell>
          <cell r="L99">
            <v>76</v>
          </cell>
        </row>
        <row r="100">
          <cell r="H100" t="str">
            <v>Бетон / В-7,5 (М-100) (куб.м)</v>
          </cell>
          <cell r="L100">
            <v>800</v>
          </cell>
        </row>
        <row r="101">
          <cell r="H101" t="str">
            <v>Арматура / А3 д.14 (тн)</v>
          </cell>
          <cell r="L101">
            <v>226.875</v>
          </cell>
        </row>
        <row r="102">
          <cell r="H102" t="str">
            <v>Бетон / В-20 (М-250) (куб.м)</v>
          </cell>
          <cell r="L102">
            <v>1500</v>
          </cell>
        </row>
        <row r="103">
          <cell r="H103" t="str">
            <v>Арматура / А3 д.14 (тн)</v>
          </cell>
          <cell r="L103">
            <v>484</v>
          </cell>
        </row>
        <row r="104">
          <cell r="H104" t="str">
            <v>Бетон / В-20 (М-250) (куб.м)</v>
          </cell>
          <cell r="L104">
            <v>3200</v>
          </cell>
        </row>
        <row r="105">
          <cell r="H105" t="str">
            <v>Подпольные каналы / Монолитные каналы (пм)</v>
          </cell>
          <cell r="L105">
            <v>2500</v>
          </cell>
        </row>
        <row r="106">
          <cell r="H106" t="str">
            <v>Бетон / В-7,5 (М-100) (куб.м)</v>
          </cell>
          <cell r="L106">
            <v>160</v>
          </cell>
        </row>
        <row r="107">
          <cell r="H107" t="str">
            <v>Арматура / А3 д.14 (тн)</v>
          </cell>
          <cell r="L107">
            <v>45.375</v>
          </cell>
        </row>
        <row r="108">
          <cell r="H108" t="str">
            <v>Бетон / В-20 (М-250) (куб.м)</v>
          </cell>
          <cell r="L108">
            <v>300</v>
          </cell>
        </row>
        <row r="109">
          <cell r="H109" t="str">
            <v>Арматура / А3 д.14 (тн)</v>
          </cell>
          <cell r="L109">
            <v>96.8</v>
          </cell>
        </row>
        <row r="110">
          <cell r="H110" t="str">
            <v>Бетон / В-20 (М-250) (куб.м)</v>
          </cell>
          <cell r="L110">
            <v>640</v>
          </cell>
        </row>
        <row r="111">
          <cell r="H111" t="str">
            <v>Подпольные каналы / Монолитные каналы (пм)</v>
          </cell>
          <cell r="L111">
            <v>500</v>
          </cell>
        </row>
        <row r="112">
          <cell r="H112" t="str">
            <v>Бетон / В-7,5 (М-100) (куб.м)</v>
          </cell>
          <cell r="L112">
            <v>305.40000000000003</v>
          </cell>
        </row>
        <row r="113">
          <cell r="H113" t="str">
            <v>Арматура / А3 д.12 (тн)</v>
          </cell>
          <cell r="L113">
            <v>67.7988</v>
          </cell>
        </row>
        <row r="114">
          <cell r="H114" t="str">
            <v>Вяз.проволока / д.1,2 (тн)</v>
          </cell>
          <cell r="L114">
            <v>7.6349999999999998</v>
          </cell>
        </row>
        <row r="115">
          <cell r="H115" t="str">
            <v>Бетон / В-20 (М-250) (куб.м)</v>
          </cell>
          <cell r="L115">
            <v>610.80000000000007</v>
          </cell>
        </row>
        <row r="116">
          <cell r="H116" t="str">
            <v>Топинг / Sikafloor Chapdur (grey) (кг)</v>
          </cell>
          <cell r="L116">
            <v>12216</v>
          </cell>
        </row>
        <row r="117">
          <cell r="H117" t="str">
            <v>Лак / Sika Top 71 Curing (литр)</v>
          </cell>
          <cell r="L117">
            <v>1221.6000000000001</v>
          </cell>
        </row>
        <row r="118">
          <cell r="H118" t="str">
            <v>Пол / Монолитный пол (м2)</v>
          </cell>
          <cell r="L118">
            <v>3054</v>
          </cell>
        </row>
        <row r="119">
          <cell r="H119" t="str">
            <v>Бетон / В-7,5 (М-100) (куб.м)</v>
          </cell>
          <cell r="L119">
            <v>1551.5</v>
          </cell>
        </row>
        <row r="120">
          <cell r="H120" t="str">
            <v>Арматура / А3 д.12 (тн)</v>
          </cell>
          <cell r="L120">
            <v>344.43299999999999</v>
          </cell>
        </row>
        <row r="121">
          <cell r="H121" t="str">
            <v>Вяз.проволока / д.1,2 (тн)</v>
          </cell>
          <cell r="L121">
            <v>38.787500000000001</v>
          </cell>
        </row>
        <row r="122">
          <cell r="H122" t="str">
            <v>Бетон / В-20 (М-250) (куб.м)</v>
          </cell>
          <cell r="L122">
            <v>3103</v>
          </cell>
        </row>
        <row r="123">
          <cell r="H123" t="str">
            <v>Топинг / Sikafloor Chapdur (grey) (кг)</v>
          </cell>
          <cell r="L123">
            <v>62060</v>
          </cell>
        </row>
        <row r="124">
          <cell r="H124" t="str">
            <v>Лак / Sika Top 71 Curing (литр)</v>
          </cell>
          <cell r="L124">
            <v>6206</v>
          </cell>
        </row>
        <row r="125">
          <cell r="H125" t="str">
            <v>Пол / Монолитный пол (м2)</v>
          </cell>
          <cell r="L125">
            <v>15515</v>
          </cell>
        </row>
        <row r="126">
          <cell r="H126" t="str">
            <v>Бетон / В-7,5 (М-100) (куб.м)</v>
          </cell>
          <cell r="L126">
            <v>139.5</v>
          </cell>
        </row>
        <row r="127">
          <cell r="H127" t="str">
            <v>Арматура / А3 д.12 (тн)</v>
          </cell>
          <cell r="L127">
            <v>30.969000000000001</v>
          </cell>
        </row>
        <row r="128">
          <cell r="H128" t="str">
            <v>Вяз.проволока / д.1,2 (тн)</v>
          </cell>
          <cell r="L128">
            <v>3.1038749999999999</v>
          </cell>
        </row>
        <row r="129">
          <cell r="H129" t="str">
            <v>Бетон / В-20 (М-250) (куб.м)</v>
          </cell>
          <cell r="L129">
            <v>279</v>
          </cell>
        </row>
        <row r="130">
          <cell r="H130" t="str">
            <v>Топинг / Sikafloor Chapdur (grey) (кг)</v>
          </cell>
          <cell r="L130">
            <v>5580</v>
          </cell>
        </row>
        <row r="131">
          <cell r="H131" t="str">
            <v>Лак / Sika Top 71 Curing (литр)</v>
          </cell>
          <cell r="L131">
            <v>558</v>
          </cell>
        </row>
        <row r="132">
          <cell r="H132" t="str">
            <v>Пол / Монолитный пол (м2)</v>
          </cell>
          <cell r="L132">
            <v>1395</v>
          </cell>
        </row>
        <row r="133">
          <cell r="H133" t="str">
            <v>Колонна / 400х400х8200 (шт)</v>
          </cell>
          <cell r="L133">
            <v>48</v>
          </cell>
        </row>
        <row r="134">
          <cell r="H134" t="str">
            <v>Каркас / ЖБ колонны (шт)</v>
          </cell>
          <cell r="L134">
            <v>48</v>
          </cell>
        </row>
        <row r="135">
          <cell r="H135" t="str">
            <v>Колонна / 400х400х8200 (шт)</v>
          </cell>
          <cell r="L135">
            <v>180</v>
          </cell>
        </row>
        <row r="136">
          <cell r="H136" t="str">
            <v>Каркас / ЖБ колонны (шт)</v>
          </cell>
          <cell r="L136">
            <v>180</v>
          </cell>
        </row>
        <row r="137">
          <cell r="H137" t="str">
            <v>Колонна / 400х400х8200 (шт)</v>
          </cell>
          <cell r="L137">
            <v>20</v>
          </cell>
        </row>
        <row r="138">
          <cell r="H138" t="str">
            <v>Каркас / ЖБ колонны (шт)</v>
          </cell>
          <cell r="L138">
            <v>20</v>
          </cell>
        </row>
      </sheetData>
      <sheetData sheetId="3"/>
      <sheetData sheetId="4"/>
      <sheetData sheetId="5">
        <row r="4">
          <cell r="H4" t="str">
            <v>Арматура / А3 д.14 (тн)</v>
          </cell>
          <cell r="L4">
            <v>2.6222575428211914</v>
          </cell>
        </row>
        <row r="5">
          <cell r="H5" t="str">
            <v>Арматура / А3 д.14 (тн)</v>
          </cell>
          <cell r="L5">
            <v>1.1842453419192476</v>
          </cell>
        </row>
        <row r="6">
          <cell r="H6" t="str">
            <v>Арматура / А3 д.14 (тн)</v>
          </cell>
          <cell r="L6">
            <v>3.3074280620744698</v>
          </cell>
        </row>
        <row r="7">
          <cell r="H7" t="str">
            <v>Арматура / А3 д.14 (тн)</v>
          </cell>
          <cell r="L7">
            <v>1.4346286427821744</v>
          </cell>
        </row>
        <row r="8">
          <cell r="H8" t="str">
            <v>Арматура / А3 д.8 (тн)</v>
          </cell>
          <cell r="L8">
            <v>0.31598289706253507</v>
          </cell>
        </row>
        <row r="9">
          <cell r="H9" t="str">
            <v>Арматура / А3 д.14 (тн)</v>
          </cell>
          <cell r="L9">
            <v>2.8421888206061943</v>
          </cell>
        </row>
        <row r="10">
          <cell r="H10" t="str">
            <v>Вяз.проволока / д.1,2 (тн)</v>
          </cell>
          <cell r="L10">
            <v>1.1706731307265814</v>
          </cell>
        </row>
        <row r="11">
          <cell r="H11" t="str">
            <v>Бетон / В-20 (М-250) (куб.м)</v>
          </cell>
          <cell r="L11">
            <v>266</v>
          </cell>
        </row>
        <row r="12">
          <cell r="H12" t="str">
            <v>Бетон / В-7,5 (М-100) (куб.м)</v>
          </cell>
          <cell r="L12">
            <v>28</v>
          </cell>
        </row>
        <row r="13">
          <cell r="H13" t="str">
            <v>Добавка / РС 08 SG7 (тн)</v>
          </cell>
          <cell r="L13">
            <v>0</v>
          </cell>
        </row>
        <row r="14">
          <cell r="H14" t="str">
            <v>Битум / изоляционный (тн)</v>
          </cell>
          <cell r="L14">
            <v>2.1</v>
          </cell>
        </row>
        <row r="15">
          <cell r="L15">
            <v>35</v>
          </cell>
        </row>
        <row r="16">
          <cell r="H16" t="str">
            <v>Гунтовка по металлу  / ГФ-021 (тн)</v>
          </cell>
          <cell r="L16">
            <v>139.57214880000004</v>
          </cell>
        </row>
        <row r="17">
          <cell r="L17">
            <v>52.844682239999997</v>
          </cell>
        </row>
        <row r="18">
          <cell r="H18" t="str">
            <v>Электроы сварочные / Ø4 мм, кг (кг)</v>
          </cell>
          <cell r="L18">
            <v>30.803189759999988</v>
          </cell>
        </row>
        <row r="19">
          <cell r="H19" t="str">
            <v>Электроы сварочные / Ø4 мм, кг (кг)</v>
          </cell>
          <cell r="L19">
            <v>338.50306560000001</v>
          </cell>
        </row>
        <row r="20">
          <cell r="H20" t="str">
            <v>Диск отрезной / d-230 мм (шт)</v>
          </cell>
          <cell r="L20">
            <v>84</v>
          </cell>
        </row>
        <row r="21">
          <cell r="H21" t="str">
            <v>Листовой метал /  (тн)</v>
          </cell>
          <cell r="L21">
            <v>672.79900799999996</v>
          </cell>
        </row>
        <row r="22">
          <cell r="H22" t="str">
            <v>Листовой метал /  (тн)</v>
          </cell>
          <cell r="L22">
            <v>305.96160000000003</v>
          </cell>
        </row>
        <row r="23">
          <cell r="H23" t="str">
            <v>Листовой метал /  (тн)</v>
          </cell>
          <cell r="L23">
            <v>952.70111999999972</v>
          </cell>
        </row>
        <row r="24">
          <cell r="H24" t="str">
            <v>Листовой метал /  (тн)</v>
          </cell>
          <cell r="L24">
            <v>341.83296000000001</v>
          </cell>
        </row>
        <row r="25">
          <cell r="H25" t="str">
            <v>МеталПрофиль / 80х80х3 (п.м.)</v>
          </cell>
          <cell r="L25">
            <v>1156.1199999999999</v>
          </cell>
        </row>
        <row r="26">
          <cell r="H26" t="str">
            <v>МеталПрофиль / 100х100х4 (п.м.)</v>
          </cell>
          <cell r="L26">
            <v>1344</v>
          </cell>
        </row>
        <row r="27">
          <cell r="L27">
            <v>28</v>
          </cell>
        </row>
        <row r="28">
          <cell r="H28" t="str">
            <v>Сендвич кровельный / PUR, 80 mm (кв.м)</v>
          </cell>
          <cell r="L28">
            <v>3733.8</v>
          </cell>
        </row>
        <row r="29">
          <cell r="L29">
            <v>3733.8</v>
          </cell>
        </row>
        <row r="30">
          <cell r="H30" t="str">
            <v>МеталПрофиль / 120х80х3 (п.м.)</v>
          </cell>
          <cell r="L30">
            <v>3696</v>
          </cell>
        </row>
        <row r="31">
          <cell r="L31">
            <v>3696</v>
          </cell>
        </row>
        <row r="32">
          <cell r="H32" t="str">
            <v>МеталПрофиль / 80х80х3 (п.м.)</v>
          </cell>
          <cell r="L32">
            <v>1232</v>
          </cell>
        </row>
        <row r="33">
          <cell r="L33">
            <v>1232</v>
          </cell>
        </row>
        <row r="34">
          <cell r="H34" t="str">
            <v>Бетон / В-7,5 (М-100) (куб.м)</v>
          </cell>
          <cell r="L34">
            <v>160</v>
          </cell>
        </row>
        <row r="35">
          <cell r="H35" t="str">
            <v>Арматура / А3 д.14 (тн)</v>
          </cell>
          <cell r="L35">
            <v>45.375</v>
          </cell>
        </row>
        <row r="36">
          <cell r="H36" t="str">
            <v>Бетон / В-20 (М-250) (куб.м)</v>
          </cell>
          <cell r="L36">
            <v>300</v>
          </cell>
        </row>
        <row r="37">
          <cell r="H37" t="str">
            <v>Арматура / А3 д.14 (тн)</v>
          </cell>
          <cell r="L37">
            <v>96.8</v>
          </cell>
        </row>
        <row r="38">
          <cell r="H38" t="str">
            <v>Бетон / В-20 (М-250) (куб.м)</v>
          </cell>
          <cell r="L38">
            <v>640</v>
          </cell>
        </row>
        <row r="39">
          <cell r="L39">
            <v>500</v>
          </cell>
        </row>
        <row r="40">
          <cell r="H40" t="str">
            <v>Бетон / В-7,5 (М-100) (куб.м)</v>
          </cell>
          <cell r="L40">
            <v>373.38000000000005</v>
          </cell>
        </row>
        <row r="41">
          <cell r="H41" t="str">
            <v>Арматура / А3 д.12 (тн)</v>
          </cell>
          <cell r="L41">
            <v>82.890360000000001</v>
          </cell>
        </row>
        <row r="42">
          <cell r="H42" t="str">
            <v>Вяз.проволока / д.1,2 (тн)</v>
          </cell>
          <cell r="L42">
            <v>9.3345000000000002</v>
          </cell>
        </row>
        <row r="43">
          <cell r="H43" t="str">
            <v>Бетон / В-20 (М-250) (куб.м)</v>
          </cell>
          <cell r="L43">
            <v>746.7600000000001</v>
          </cell>
        </row>
        <row r="44">
          <cell r="H44" t="str">
            <v>Топинг / Sikafloor Chapdur (grey) (кг)</v>
          </cell>
          <cell r="L44">
            <v>14935.2</v>
          </cell>
        </row>
        <row r="45">
          <cell r="H45" t="str">
            <v>Лак / Sika Top 71 Curing (литр)</v>
          </cell>
          <cell r="L45">
            <v>1493.5200000000002</v>
          </cell>
        </row>
        <row r="46">
          <cell r="L46">
            <v>3733.8</v>
          </cell>
        </row>
        <row r="47">
          <cell r="H47" t="str">
            <v>Лак / Sika Top 71 Curing (литр)</v>
          </cell>
          <cell r="L47">
            <v>1493.5200000000002</v>
          </cell>
        </row>
        <row r="48">
          <cell r="H48" t="str">
            <v>Колонна / 400х400х8200 (шт)</v>
          </cell>
          <cell r="L48">
            <v>35</v>
          </cell>
        </row>
        <row r="49">
          <cell r="L49">
            <v>35</v>
          </cell>
        </row>
      </sheetData>
      <sheetData sheetId="6">
        <row r="4">
          <cell r="H4" t="str">
            <v>Арматура / А3 д.14 (тн)</v>
          </cell>
          <cell r="L4">
            <v>4.1206904244333007</v>
          </cell>
        </row>
        <row r="5">
          <cell r="H5" t="str">
            <v>Арматура / А3 д.14 (тн)</v>
          </cell>
          <cell r="L5">
            <v>1.8609569658731033</v>
          </cell>
        </row>
        <row r="6">
          <cell r="H6" t="str">
            <v>Арматура / А3 д.14 (тн)</v>
          </cell>
          <cell r="L6">
            <v>5.1973869546884526</v>
          </cell>
        </row>
        <row r="7">
          <cell r="H7" t="str">
            <v>Арматура / А3 д.14 (тн)</v>
          </cell>
          <cell r="L7">
            <v>2.2544164386577026</v>
          </cell>
        </row>
        <row r="8">
          <cell r="H8" t="str">
            <v>Арматура / А3 д.8 (тн)</v>
          </cell>
          <cell r="L8">
            <v>0.49654455252684088</v>
          </cell>
        </row>
        <row r="9">
          <cell r="H9" t="str">
            <v>Арматура / А3 д.14 (тн)</v>
          </cell>
          <cell r="L9">
            <v>4.4662967180954487</v>
          </cell>
        </row>
        <row r="10">
          <cell r="H10" t="str">
            <v>Вяз.проволока / д.1,2 (тн)</v>
          </cell>
          <cell r="L10">
            <v>1.839629205427485</v>
          </cell>
        </row>
        <row r="11">
          <cell r="H11" t="str">
            <v>Бетон / В-20 (М-250) (куб.м)</v>
          </cell>
          <cell r="L11">
            <v>418</v>
          </cell>
        </row>
        <row r="12">
          <cell r="H12" t="str">
            <v>Бетон / В-7,5 (М-100) (куб.м)</v>
          </cell>
          <cell r="L12">
            <v>44</v>
          </cell>
        </row>
        <row r="13">
          <cell r="H13" t="str">
            <v>Добавка / РС 08 SG7 (тн)</v>
          </cell>
          <cell r="L13">
            <v>0</v>
          </cell>
        </row>
        <row r="14">
          <cell r="H14" t="str">
            <v>Битум / изоляционный (тн)</v>
          </cell>
          <cell r="L14">
            <v>3.3</v>
          </cell>
        </row>
        <row r="15">
          <cell r="L15">
            <v>55</v>
          </cell>
        </row>
        <row r="16">
          <cell r="H16" t="str">
            <v>Гунтовка по металлу  / ГФ-021 (тн)</v>
          </cell>
          <cell r="L16">
            <v>179.44990560000002</v>
          </cell>
        </row>
        <row r="17">
          <cell r="L17">
            <v>67.943162880000003</v>
          </cell>
        </row>
        <row r="18">
          <cell r="H18" t="str">
            <v>Электроы сварочные / Ø4 мм, кг (кг)</v>
          </cell>
          <cell r="L18">
            <v>39.604101119999989</v>
          </cell>
        </row>
        <row r="19">
          <cell r="H19" t="str">
            <v>Электроы сварочные / Ø4 мм, кг (кг)</v>
          </cell>
          <cell r="L19">
            <v>435.2182272</v>
          </cell>
        </row>
        <row r="20">
          <cell r="H20" t="str">
            <v>Диск отрезной / d-230 мм (шт)</v>
          </cell>
          <cell r="L20">
            <v>108</v>
          </cell>
        </row>
        <row r="21">
          <cell r="H21" t="str">
            <v>Листовой метал /  (тн)</v>
          </cell>
          <cell r="L21">
            <v>865.02729599999998</v>
          </cell>
        </row>
        <row r="22">
          <cell r="H22" t="str">
            <v>Листовой метал /  (тн)</v>
          </cell>
          <cell r="L22">
            <v>393.37920000000003</v>
          </cell>
        </row>
        <row r="23">
          <cell r="H23" t="str">
            <v>Листовой метал /  (тн)</v>
          </cell>
          <cell r="L23">
            <v>1224.9014399999996</v>
          </cell>
        </row>
        <row r="24">
          <cell r="H24" t="str">
            <v>Листовой метал /  (тн)</v>
          </cell>
          <cell r="L24">
            <v>439.49952000000002</v>
          </cell>
        </row>
        <row r="25">
          <cell r="H25" t="str">
            <v>МеталПрофиль / 80х80х3 (п.м.)</v>
          </cell>
          <cell r="L25">
            <v>1486.44</v>
          </cell>
        </row>
        <row r="26">
          <cell r="H26" t="str">
            <v>МеталПрофиль / 100х100х4 (п.м.)</v>
          </cell>
          <cell r="L26">
            <v>1728</v>
          </cell>
        </row>
        <row r="27">
          <cell r="L27">
            <v>36</v>
          </cell>
        </row>
        <row r="28">
          <cell r="H28" t="str">
            <v>Сендвич кровельный / PUR, 80 mm (кв.м)</v>
          </cell>
          <cell r="L28">
            <v>4343.3999999999996</v>
          </cell>
        </row>
        <row r="29">
          <cell r="L29">
            <v>4343.3999999999996</v>
          </cell>
        </row>
        <row r="30">
          <cell r="H30" t="str">
            <v>МеталПрофиль / 120х80х3 (п.м.)</v>
          </cell>
          <cell r="L30">
            <v>5029.2</v>
          </cell>
        </row>
        <row r="31">
          <cell r="L31">
            <v>5029.2</v>
          </cell>
        </row>
        <row r="32">
          <cell r="H32" t="str">
            <v>МеталПрофиль / 80х80х3 (п.м.)</v>
          </cell>
          <cell r="L32">
            <v>1676.4</v>
          </cell>
        </row>
        <row r="33">
          <cell r="L33">
            <v>1676.4</v>
          </cell>
        </row>
        <row r="34">
          <cell r="H34" t="str">
            <v>Бетон / В-7,5 (М-100) (куб.м)</v>
          </cell>
          <cell r="L34">
            <v>0</v>
          </cell>
        </row>
        <row r="35">
          <cell r="H35" t="str">
            <v>Арматура / А3 д.14 (тн)</v>
          </cell>
          <cell r="L35">
            <v>0</v>
          </cell>
        </row>
        <row r="36">
          <cell r="H36" t="str">
            <v>Бетон / В-20 (М-250) (куб.м)</v>
          </cell>
          <cell r="L36">
            <v>0</v>
          </cell>
        </row>
        <row r="37">
          <cell r="H37" t="str">
            <v>Арматура / А3 д.14 (тн)</v>
          </cell>
          <cell r="L37">
            <v>0</v>
          </cell>
        </row>
        <row r="38">
          <cell r="H38" t="str">
            <v>Бетон / В-20 (М-250) (куб.м)</v>
          </cell>
          <cell r="L38">
            <v>0</v>
          </cell>
        </row>
        <row r="39">
          <cell r="L39">
            <v>0</v>
          </cell>
        </row>
        <row r="40">
          <cell r="H40" t="str">
            <v>Бетон / В-7,5 (М-100) (куб.м)</v>
          </cell>
          <cell r="L40">
            <v>434.34</v>
          </cell>
        </row>
        <row r="41">
          <cell r="H41" t="str">
            <v>Арматура / А3 д.12 (тн)</v>
          </cell>
          <cell r="L41">
            <v>96.423479999999998</v>
          </cell>
        </row>
        <row r="42">
          <cell r="H42" t="str">
            <v>Вяз.проволока / д.1,2 (тн)</v>
          </cell>
          <cell r="L42">
            <v>10.858499999999999</v>
          </cell>
        </row>
        <row r="43">
          <cell r="H43" t="str">
            <v>Бетон / В-20 (М-250) (куб.м)</v>
          </cell>
          <cell r="L43">
            <v>868.68</v>
          </cell>
        </row>
        <row r="44">
          <cell r="H44" t="str">
            <v>Топинг / Sikafloor Chapdur (grey) (кг)</v>
          </cell>
          <cell r="L44">
            <v>17373.599999999999</v>
          </cell>
        </row>
        <row r="45">
          <cell r="H45" t="str">
            <v>Лак / Sika Top 71 Curing (литр)</v>
          </cell>
          <cell r="L45">
            <v>1737.36</v>
          </cell>
        </row>
        <row r="46">
          <cell r="L46">
            <v>4343.3999999999996</v>
          </cell>
        </row>
        <row r="47">
          <cell r="H47" t="str">
            <v>Лак / Sika Top 71 Curing (литр)</v>
          </cell>
          <cell r="L47">
            <v>1737.36</v>
          </cell>
        </row>
        <row r="48">
          <cell r="H48" t="str">
            <v>Колонна / 400х400х8200 (шт)</v>
          </cell>
          <cell r="L48">
            <v>55</v>
          </cell>
        </row>
        <row r="49">
          <cell r="L49">
            <v>55</v>
          </cell>
        </row>
      </sheetData>
      <sheetData sheetId="7">
        <row r="4">
          <cell r="H4" t="str">
            <v>Арматура / А3 д.14 (тн)</v>
          </cell>
          <cell r="L4">
            <v>5.9937315264484372</v>
          </cell>
        </row>
        <row r="5">
          <cell r="H5" t="str">
            <v>Арматура / А3 д.14 (тн)</v>
          </cell>
          <cell r="L5">
            <v>2.706846495815423</v>
          </cell>
        </row>
        <row r="6">
          <cell r="H6" t="str">
            <v>Арматура / А3 д.14 (тн)</v>
          </cell>
          <cell r="L6">
            <v>7.559835570455931</v>
          </cell>
        </row>
        <row r="7">
          <cell r="H7" t="str">
            <v>Арматура / А3 д.14 (тн)</v>
          </cell>
          <cell r="L7">
            <v>3.2791511835021132</v>
          </cell>
        </row>
        <row r="8">
          <cell r="H8" t="str">
            <v>Арматура / А3 д.8 (тн)</v>
          </cell>
          <cell r="L8">
            <v>0.7222466218572231</v>
          </cell>
        </row>
        <row r="9">
          <cell r="H9" t="str">
            <v>Арматура / А3 д.14 (тн)</v>
          </cell>
          <cell r="L9">
            <v>6.496431589957016</v>
          </cell>
        </row>
        <row r="10">
          <cell r="H10" t="str">
            <v>Вяз.проволока / д.1,2 (тн)</v>
          </cell>
          <cell r="L10">
            <v>2.6758242988036147</v>
          </cell>
        </row>
        <row r="11">
          <cell r="H11" t="str">
            <v>Бетон / В-20 (М-250) (куб.м)</v>
          </cell>
          <cell r="L11">
            <v>608</v>
          </cell>
        </row>
        <row r="12">
          <cell r="H12" t="str">
            <v>Бетон / В-7,5 (М-100) (куб.м)</v>
          </cell>
          <cell r="L12">
            <v>64</v>
          </cell>
        </row>
        <row r="13">
          <cell r="H13" t="str">
            <v>Добавка / РС 08 SG7 (тн)</v>
          </cell>
          <cell r="L13">
            <v>0</v>
          </cell>
        </row>
        <row r="14">
          <cell r="H14" t="str">
            <v>Битум / изоляционный (тн)</v>
          </cell>
          <cell r="L14">
            <v>4.8</v>
          </cell>
        </row>
        <row r="15">
          <cell r="L15">
            <v>80</v>
          </cell>
        </row>
        <row r="16">
          <cell r="H16" t="str">
            <v>Гунтовка по металлу  / ГФ-021 (тн)</v>
          </cell>
          <cell r="L16">
            <v>314.03733480000005</v>
          </cell>
        </row>
        <row r="17">
          <cell r="L17">
            <v>118.90053503999999</v>
          </cell>
        </row>
        <row r="18">
          <cell r="H18" t="str">
            <v>Электроы сварочные / Ø4 мм, кг (кг)</v>
          </cell>
          <cell r="L18">
            <v>69.307176959999978</v>
          </cell>
        </row>
        <row r="19">
          <cell r="H19" t="str">
            <v>Электроы сварочные / Ø4 мм, кг (кг)</v>
          </cell>
          <cell r="L19">
            <v>761.6318976</v>
          </cell>
        </row>
        <row r="20">
          <cell r="H20" t="str">
            <v>Диск отрезной / d-230 мм (шт)</v>
          </cell>
          <cell r="L20">
            <v>189</v>
          </cell>
        </row>
        <row r="21">
          <cell r="H21" t="str">
            <v>Листовой метал /  (тн)</v>
          </cell>
          <cell r="L21">
            <v>1513.7977679999999</v>
          </cell>
        </row>
        <row r="22">
          <cell r="H22" t="str">
            <v>Листовой метал /  (тн)</v>
          </cell>
          <cell r="L22">
            <v>688.41360000000009</v>
          </cell>
        </row>
        <row r="23">
          <cell r="H23" t="str">
            <v>Листовой метал /  (тн)</v>
          </cell>
          <cell r="L23">
            <v>2143.5775199999994</v>
          </cell>
        </row>
        <row r="24">
          <cell r="H24" t="str">
            <v>Листовой метал /  (тн)</v>
          </cell>
          <cell r="L24">
            <v>769.12416000000007</v>
          </cell>
        </row>
        <row r="25">
          <cell r="H25" t="str">
            <v>МеталПрофиль / 80х80х3 (п.м.)</v>
          </cell>
          <cell r="L25">
            <v>2601.27</v>
          </cell>
        </row>
        <row r="26">
          <cell r="H26" t="str">
            <v>МеталПрофиль / 100х100х4 (п.м.)</v>
          </cell>
          <cell r="L26">
            <v>3024</v>
          </cell>
        </row>
        <row r="27">
          <cell r="L27">
            <v>63</v>
          </cell>
        </row>
        <row r="28">
          <cell r="H28" t="str">
            <v>Сендвич кровельный / PUR, 80 mm (кв.м)</v>
          </cell>
          <cell r="L28">
            <v>2295.1999999999998</v>
          </cell>
        </row>
        <row r="29">
          <cell r="L29">
            <v>2295.1999999999998</v>
          </cell>
        </row>
        <row r="30">
          <cell r="H30" t="str">
            <v>МеталПрофиль / 120х80х3 (п.м.)</v>
          </cell>
          <cell r="L30">
            <v>7972.8</v>
          </cell>
        </row>
        <row r="31">
          <cell r="L31">
            <v>7972.8</v>
          </cell>
        </row>
        <row r="32">
          <cell r="H32" t="str">
            <v>МеталПрофиль / 80х80х3 (п.м.)</v>
          </cell>
          <cell r="L32">
            <v>2657.6</v>
          </cell>
        </row>
        <row r="33">
          <cell r="L33">
            <v>2657.6</v>
          </cell>
        </row>
        <row r="34">
          <cell r="H34" t="str">
            <v>Бетон / В-7,5 (М-100) (куб.м)</v>
          </cell>
          <cell r="L34">
            <v>0</v>
          </cell>
        </row>
        <row r="35">
          <cell r="H35" t="str">
            <v>Арматура / А3 д.14 (тн)</v>
          </cell>
          <cell r="L35">
            <v>0</v>
          </cell>
        </row>
        <row r="36">
          <cell r="H36" t="str">
            <v>Бетон / В-20 (М-250) (куб.м)</v>
          </cell>
          <cell r="L36">
            <v>0</v>
          </cell>
        </row>
        <row r="37">
          <cell r="H37" t="str">
            <v>Арматура / А3 д.14 (тн)</v>
          </cell>
          <cell r="L37">
            <v>0</v>
          </cell>
        </row>
        <row r="38">
          <cell r="H38" t="str">
            <v>Бетон / В-20 (М-250) (куб.м)</v>
          </cell>
          <cell r="L38">
            <v>0</v>
          </cell>
        </row>
        <row r="39">
          <cell r="L39">
            <v>0</v>
          </cell>
        </row>
        <row r="40">
          <cell r="H40" t="str">
            <v>Бетон / В-7,5 (М-100) (куб.м)</v>
          </cell>
          <cell r="L40">
            <v>229.51999999999998</v>
          </cell>
        </row>
        <row r="41">
          <cell r="H41" t="str">
            <v>Арматура / А3 д.12 (тн)</v>
          </cell>
          <cell r="L41">
            <v>50.953440000000001</v>
          </cell>
        </row>
        <row r="42">
          <cell r="H42" t="str">
            <v>Вяз.проволока / д.1,2 (тн)</v>
          </cell>
          <cell r="L42">
            <v>5.7379999999999995</v>
          </cell>
        </row>
        <row r="43">
          <cell r="H43" t="str">
            <v>Бетон / В-20 (М-250) (куб.м)</v>
          </cell>
          <cell r="L43">
            <v>459.03999999999996</v>
          </cell>
        </row>
        <row r="44">
          <cell r="H44" t="str">
            <v>Топинг / Sikafloor Chapdur (grey) (кг)</v>
          </cell>
          <cell r="L44">
            <v>9180.7999999999993</v>
          </cell>
        </row>
        <row r="45">
          <cell r="H45" t="str">
            <v>Лак / Sika Top 71 Curing (литр)</v>
          </cell>
          <cell r="L45">
            <v>918.07999999999993</v>
          </cell>
        </row>
        <row r="46">
          <cell r="L46">
            <v>2295.1999999999998</v>
          </cell>
        </row>
        <row r="47">
          <cell r="H47" t="str">
            <v>Лак / Sika Top 71 Curing (литр)</v>
          </cell>
          <cell r="L47">
            <v>918.07999999999993</v>
          </cell>
        </row>
        <row r="48">
          <cell r="H48" t="str">
            <v>Колонна / 400х400х8200 (шт)</v>
          </cell>
          <cell r="L48">
            <v>80</v>
          </cell>
        </row>
        <row r="49">
          <cell r="L49">
            <v>80</v>
          </cell>
        </row>
      </sheetData>
      <sheetData sheetId="8"/>
      <sheetData sheetId="9">
        <row r="4">
          <cell r="H4" t="str">
            <v>Арматура / А3 д.14 (тн)</v>
          </cell>
          <cell r="L4">
            <v>11.687776476574452</v>
          </cell>
        </row>
        <row r="5">
          <cell r="H5" t="str">
            <v>Арматура / А3 д.14 (тн)</v>
          </cell>
          <cell r="L5">
            <v>5.2783506668400753</v>
          </cell>
        </row>
        <row r="6">
          <cell r="H6" t="str">
            <v>Арматура / А3 д.14 (тн)</v>
          </cell>
          <cell r="L6">
            <v>14.741679362389064</v>
          </cell>
        </row>
        <row r="7">
          <cell r="H7" t="str">
            <v>Арматура / А3 д.14 (тн)</v>
          </cell>
          <cell r="L7">
            <v>6.3943448078291203</v>
          </cell>
        </row>
        <row r="8">
          <cell r="H8" t="str">
            <v>Арматура / А3 д.8 (тн)</v>
          </cell>
          <cell r="L8">
            <v>1.4083809126215849</v>
          </cell>
        </row>
        <row r="9">
          <cell r="H9" t="str">
            <v>Арматура / А3 д.14 (тн)</v>
          </cell>
          <cell r="L9">
            <v>12.668041600416181</v>
          </cell>
        </row>
        <row r="10">
          <cell r="H10" t="str">
            <v>Вяз.проволока / д.1,2 (тн)</v>
          </cell>
          <cell r="L10">
            <v>5.2178573826670487</v>
          </cell>
        </row>
        <row r="11">
          <cell r="H11" t="str">
            <v>Бетон / В-20 (М-250) (куб.м)</v>
          </cell>
          <cell r="L11">
            <v>1185.5999999999999</v>
          </cell>
        </row>
        <row r="12">
          <cell r="H12" t="str">
            <v>Бетон / В-7,5 (М-100) (куб.м)</v>
          </cell>
          <cell r="L12">
            <v>124.80000000000001</v>
          </cell>
        </row>
        <row r="13">
          <cell r="H13" t="str">
            <v>Добавка / РС 08 SG7 (тн)</v>
          </cell>
          <cell r="L13">
            <v>0</v>
          </cell>
        </row>
        <row r="14">
          <cell r="H14" t="str">
            <v>Битум / изоляционный (тн)</v>
          </cell>
          <cell r="L14">
            <v>9.36</v>
          </cell>
        </row>
        <row r="15">
          <cell r="L15">
            <v>156</v>
          </cell>
        </row>
        <row r="16">
          <cell r="H16" t="str">
            <v>Гунтовка по металлу  / ГФ-021 (тн)</v>
          </cell>
          <cell r="L16">
            <v>623.08995000000016</v>
          </cell>
        </row>
        <row r="17">
          <cell r="L17">
            <v>235.91376</v>
          </cell>
        </row>
        <row r="18">
          <cell r="H18" t="str">
            <v>Электроы сварочные / Ø4 мм, кг (кг)</v>
          </cell>
          <cell r="L18">
            <v>137.51423999999994</v>
          </cell>
        </row>
        <row r="19">
          <cell r="H19" t="str">
            <v>Электроы сварочные / Ø4 мм, кг (кг)</v>
          </cell>
          <cell r="L19">
            <v>1511.1744000000001</v>
          </cell>
        </row>
        <row r="20">
          <cell r="H20" t="str">
            <v>Диск отрезной / d-230 мм (шт)</v>
          </cell>
          <cell r="L20">
            <v>375</v>
          </cell>
        </row>
        <row r="21">
          <cell r="H21" t="str">
            <v>Листовой метал /  (тн)</v>
          </cell>
          <cell r="L21">
            <v>3003.567</v>
          </cell>
        </row>
        <row r="22">
          <cell r="H22" t="str">
            <v>Листовой метал /  (тн)</v>
          </cell>
          <cell r="L22">
            <v>1365.9</v>
          </cell>
        </row>
        <row r="23">
          <cell r="H23" t="str">
            <v>Листовой метал /  (тн)</v>
          </cell>
          <cell r="L23">
            <v>4253.1299999999992</v>
          </cell>
        </row>
        <row r="24">
          <cell r="H24" t="str">
            <v>Листовой метал /  (тн)</v>
          </cell>
          <cell r="L24">
            <v>1526.04</v>
          </cell>
        </row>
        <row r="25">
          <cell r="H25" t="str">
            <v>МеталПрофиль / 80х80х3 (п.м.)</v>
          </cell>
          <cell r="L25">
            <v>5161.25</v>
          </cell>
        </row>
        <row r="26">
          <cell r="H26" t="str">
            <v>МеталПрофиль / 100х100х4 (п.м.)</v>
          </cell>
          <cell r="L26">
            <v>6000</v>
          </cell>
        </row>
        <row r="27">
          <cell r="L27">
            <v>125</v>
          </cell>
        </row>
        <row r="28">
          <cell r="H28" t="str">
            <v>Сендвич кровельный / PUR, 80 mm (кв.м)</v>
          </cell>
          <cell r="L28">
            <v>13635.81</v>
          </cell>
        </row>
        <row r="29">
          <cell r="L29">
            <v>13635.81</v>
          </cell>
        </row>
        <row r="30">
          <cell r="H30" t="str">
            <v>МеталПрофиль / 120х80х3 (п.м.)</v>
          </cell>
          <cell r="L30">
            <v>15000</v>
          </cell>
        </row>
        <row r="31">
          <cell r="L31">
            <v>15000</v>
          </cell>
        </row>
        <row r="32">
          <cell r="H32" t="str">
            <v>МеталПрофиль / 80х80х3 (п.м.)</v>
          </cell>
          <cell r="L32">
            <v>5000</v>
          </cell>
        </row>
        <row r="33">
          <cell r="L33">
            <v>5000</v>
          </cell>
        </row>
        <row r="34">
          <cell r="H34" t="str">
            <v>Бетон / В-7,5 (М-100) (куб.м)</v>
          </cell>
          <cell r="L34">
            <v>0</v>
          </cell>
        </row>
        <row r="35">
          <cell r="H35" t="str">
            <v>Арматура / А3 д.14 (тн)</v>
          </cell>
          <cell r="L35">
            <v>0</v>
          </cell>
        </row>
        <row r="36">
          <cell r="H36" t="str">
            <v>Бетон / В-20 (М-250) (куб.м)</v>
          </cell>
          <cell r="L36">
            <v>0</v>
          </cell>
        </row>
        <row r="37">
          <cell r="H37" t="str">
            <v>Арматура / А3 д.14 (тн)</v>
          </cell>
          <cell r="L37">
            <v>0</v>
          </cell>
        </row>
        <row r="38">
          <cell r="H38" t="str">
            <v>Бетон / В-20 (М-250) (куб.м)</v>
          </cell>
          <cell r="L38">
            <v>0</v>
          </cell>
        </row>
        <row r="39">
          <cell r="L39">
            <v>0</v>
          </cell>
        </row>
        <row r="40">
          <cell r="H40" t="str">
            <v>Бетон / В-7,5 (М-100) (куб.м)</v>
          </cell>
          <cell r="L40">
            <v>1363.5810000000001</v>
          </cell>
        </row>
        <row r="41">
          <cell r="H41" t="str">
            <v>Арматура / А3 д.12 (тн)</v>
          </cell>
          <cell r="L41">
            <v>302.71498200000002</v>
          </cell>
        </row>
        <row r="42">
          <cell r="H42" t="str">
            <v>Вяз.проволока / д.1,2 (тн)</v>
          </cell>
          <cell r="L42">
            <v>34.089525000000002</v>
          </cell>
        </row>
        <row r="43">
          <cell r="H43" t="str">
            <v>Бетон / В-20 (М-250) (куб.м)</v>
          </cell>
          <cell r="L43">
            <v>2727.1620000000003</v>
          </cell>
        </row>
        <row r="44">
          <cell r="H44" t="str">
            <v>Топинг / Sikafloor Chapdur (grey) (кг)</v>
          </cell>
          <cell r="L44">
            <v>54543.24</v>
          </cell>
        </row>
        <row r="45">
          <cell r="H45" t="str">
            <v>Лак / Sika Top 71 Curing (литр)</v>
          </cell>
          <cell r="L45">
            <v>5454.3240000000005</v>
          </cell>
        </row>
        <row r="46">
          <cell r="L46">
            <v>13635.81</v>
          </cell>
        </row>
        <row r="47">
          <cell r="H47" t="str">
            <v>Лак / Sika Top 71 Curing (литр)</v>
          </cell>
          <cell r="L47">
            <v>5454.3240000000005</v>
          </cell>
        </row>
        <row r="48">
          <cell r="H48" t="str">
            <v>Колонна / 400х400х8200 (шт)</v>
          </cell>
          <cell r="L48">
            <v>156</v>
          </cell>
        </row>
        <row r="49">
          <cell r="L49">
            <v>156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4">
          <cell r="L4">
            <v>0</v>
          </cell>
        </row>
        <row r="5">
          <cell r="L5">
            <v>0</v>
          </cell>
        </row>
        <row r="6">
          <cell r="L6">
            <v>0</v>
          </cell>
        </row>
        <row r="7">
          <cell r="L7">
            <v>0</v>
          </cell>
        </row>
        <row r="8">
          <cell r="L8">
            <v>0</v>
          </cell>
        </row>
        <row r="9">
          <cell r="L9">
            <v>0</v>
          </cell>
        </row>
        <row r="10">
          <cell r="L10">
            <v>0</v>
          </cell>
        </row>
        <row r="11">
          <cell r="L11">
            <v>0</v>
          </cell>
        </row>
        <row r="12">
          <cell r="L12">
            <v>0</v>
          </cell>
        </row>
        <row r="13">
          <cell r="L13">
            <v>0</v>
          </cell>
        </row>
        <row r="14">
          <cell r="L14">
            <v>0</v>
          </cell>
        </row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18">
          <cell r="L18">
            <v>0</v>
          </cell>
        </row>
        <row r="19">
          <cell r="L19">
            <v>0</v>
          </cell>
        </row>
        <row r="20"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  <row r="23">
          <cell r="L23">
            <v>0</v>
          </cell>
        </row>
        <row r="24">
          <cell r="L24">
            <v>0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0</v>
          </cell>
        </row>
        <row r="28">
          <cell r="L28">
            <v>0</v>
          </cell>
        </row>
        <row r="29">
          <cell r="L29">
            <v>0</v>
          </cell>
        </row>
        <row r="30">
          <cell r="L30">
            <v>0</v>
          </cell>
        </row>
        <row r="31">
          <cell r="L31">
            <v>0</v>
          </cell>
        </row>
        <row r="32">
          <cell r="L32">
            <v>0</v>
          </cell>
        </row>
        <row r="33">
          <cell r="L33">
            <v>0</v>
          </cell>
        </row>
        <row r="34">
          <cell r="L34">
            <v>0</v>
          </cell>
        </row>
        <row r="35">
          <cell r="L35">
            <v>0</v>
          </cell>
        </row>
        <row r="36">
          <cell r="L36">
            <v>0</v>
          </cell>
        </row>
        <row r="37">
          <cell r="L37">
            <v>0</v>
          </cell>
        </row>
        <row r="38">
          <cell r="L38">
            <v>0</v>
          </cell>
        </row>
        <row r="39">
          <cell r="L39">
            <v>0</v>
          </cell>
        </row>
        <row r="40">
          <cell r="L40">
            <v>0</v>
          </cell>
        </row>
        <row r="41">
          <cell r="L41">
            <v>0</v>
          </cell>
        </row>
        <row r="42">
          <cell r="L42">
            <v>0</v>
          </cell>
        </row>
        <row r="43">
          <cell r="L43">
            <v>0</v>
          </cell>
        </row>
        <row r="44">
          <cell r="L44">
            <v>0</v>
          </cell>
        </row>
        <row r="45">
          <cell r="L45">
            <v>0</v>
          </cell>
        </row>
        <row r="46">
          <cell r="L46">
            <v>0</v>
          </cell>
        </row>
        <row r="47">
          <cell r="L47">
            <v>0</v>
          </cell>
        </row>
        <row r="48">
          <cell r="L48">
            <v>0</v>
          </cell>
        </row>
        <row r="49">
          <cell r="L49">
            <v>0</v>
          </cell>
        </row>
        <row r="50">
          <cell r="L50">
            <v>0</v>
          </cell>
        </row>
      </sheetData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5460-23CA-494B-948C-3707A8A97568}">
  <sheetPr filterMode="1">
    <pageSetUpPr fitToPage="1"/>
  </sheetPr>
  <dimension ref="B3:X97"/>
  <sheetViews>
    <sheetView tabSelected="1" zoomScale="85" zoomScaleNormal="85" workbookViewId="0">
      <pane ySplit="3" topLeftCell="A4" activePane="bottomLeft" state="frozen"/>
      <selection pane="bottomLeft" activeCell="B3" sqref="B3:X85"/>
    </sheetView>
  </sheetViews>
  <sheetFormatPr defaultRowHeight="12.75" x14ac:dyDescent="0.2"/>
  <cols>
    <col min="1" max="1" width="1.7109375" style="13" customWidth="1"/>
    <col min="2" max="3" width="26" style="13" customWidth="1"/>
    <col min="4" max="4" width="14.42578125" style="13" customWidth="1"/>
    <col min="5" max="5" width="16.140625" style="13" hidden="1" customWidth="1"/>
    <col min="6" max="6" width="1.7109375" style="13" customWidth="1"/>
    <col min="7" max="23" width="11.7109375" style="13" hidden="1" customWidth="1"/>
    <col min="24" max="24" width="11.7109375" style="13" customWidth="1"/>
    <col min="25" max="16384" width="9.140625" style="13"/>
  </cols>
  <sheetData>
    <row r="3" spans="2:24" x14ac:dyDescent="0.2">
      <c r="B3" s="11" t="s">
        <v>162</v>
      </c>
      <c r="C3" s="11" t="s">
        <v>163</v>
      </c>
      <c r="D3" s="11" t="s">
        <v>164</v>
      </c>
      <c r="E3" s="11" t="s">
        <v>32</v>
      </c>
      <c r="F3" s="12"/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44</v>
      </c>
      <c r="S3" s="11" t="s">
        <v>45</v>
      </c>
      <c r="T3" s="11" t="s">
        <v>46</v>
      </c>
      <c r="U3" s="11" t="s">
        <v>47</v>
      </c>
      <c r="V3" s="11" t="s">
        <v>48</v>
      </c>
      <c r="W3" s="11" t="s">
        <v>49</v>
      </c>
      <c r="X3" s="11" t="s">
        <v>165</v>
      </c>
    </row>
    <row r="4" spans="2:24" x14ac:dyDescent="0.2">
      <c r="B4" s="14" t="s">
        <v>50</v>
      </c>
      <c r="C4" s="14" t="s">
        <v>51</v>
      </c>
      <c r="D4" s="15" t="s">
        <v>52</v>
      </c>
      <c r="E4" s="12" t="s">
        <v>97</v>
      </c>
      <c r="F4" s="12"/>
      <c r="G4" s="16"/>
      <c r="H4" s="16">
        <f>+SUMIFS([1]C1!$L$4:$L$100000,[1]C1!$H$4:$H$100000,ТМЦ!#REF!)</f>
        <v>0</v>
      </c>
      <c r="I4" s="16"/>
      <c r="J4" s="16"/>
      <c r="K4" s="16">
        <f>+SUMIFS([1]C4!$L$4:$L$100000,[1]C4!$H$4:$H$100000,ТМЦ!#REF!)</f>
        <v>0</v>
      </c>
      <c r="L4" s="16">
        <f>+SUMIFS([1]C5!$L$4:$L$100000,[1]C5!$H$4:$H$100000,ТМЦ!#REF!)</f>
        <v>0</v>
      </c>
      <c r="M4" s="16">
        <f>+SUMIFS([1]C6!$L$4:$L$99910,[1]C6!$H$4:$H$99910,ТМЦ!#REF!)</f>
        <v>0</v>
      </c>
      <c r="N4" s="16"/>
      <c r="O4" s="16">
        <f>+SUMIFS([1]C8!$L$4:$L$99911,[1]C8!$H$4:$H$99911,ТМЦ!#REF!)</f>
        <v>0</v>
      </c>
      <c r="P4" s="16"/>
      <c r="Q4" s="16"/>
      <c r="R4" s="16"/>
      <c r="S4" s="16"/>
      <c r="T4" s="16"/>
      <c r="U4" s="16"/>
      <c r="V4" s="16"/>
      <c r="W4" s="16">
        <f>+SUMIFS([1]C16!$L$4:$L$100000,[1]C16!$H$4:$H$100000,ТМЦ!#REF!)</f>
        <v>0</v>
      </c>
      <c r="X4" s="16">
        <v>1203.6438739273337</v>
      </c>
    </row>
    <row r="5" spans="2:24" x14ac:dyDescent="0.2">
      <c r="B5" s="14" t="s">
        <v>50</v>
      </c>
      <c r="C5" s="14" t="s">
        <v>53</v>
      </c>
      <c r="D5" s="15" t="s">
        <v>52</v>
      </c>
      <c r="E5" s="12" t="s">
        <v>97</v>
      </c>
      <c r="F5" s="12"/>
      <c r="G5" s="16"/>
      <c r="H5" s="16">
        <f>+SUMIFS([1]C1!$L$4:$L$100000,[1]C1!$H$4:$H$100000,ТМЦ!#REF!)</f>
        <v>0</v>
      </c>
      <c r="I5" s="16"/>
      <c r="J5" s="16"/>
      <c r="K5" s="16">
        <f>+SUMIFS([1]C4!$L$4:$L$100000,[1]C4!$H$4:$H$100000,ТМЦ!#REF!)</f>
        <v>0</v>
      </c>
      <c r="L5" s="16">
        <f>+SUMIFS([1]C5!$L$4:$L$100000,[1]C5!$H$4:$H$100000,ТМЦ!#REF!)</f>
        <v>0</v>
      </c>
      <c r="M5" s="16">
        <f>+SUMIFS([1]C6!$L$4:$L$99910,[1]C6!$H$4:$H$99910,ТМЦ!#REF!)</f>
        <v>0</v>
      </c>
      <c r="N5" s="16"/>
      <c r="O5" s="16">
        <f>+SUMIFS([1]C8!$L$4:$L$99911,[1]C8!$H$4:$H$99911,ТМЦ!#REF!)</f>
        <v>0</v>
      </c>
      <c r="P5" s="16"/>
      <c r="Q5" s="16"/>
      <c r="R5" s="16"/>
      <c r="S5" s="16"/>
      <c r="T5" s="16"/>
      <c r="U5" s="16"/>
      <c r="V5" s="16"/>
      <c r="W5" s="16">
        <f>+SUMIFS([1]C16!$L$4:$L$100000,[1]C16!$H$4:$H$100000,ТМЦ!#REF!)</f>
        <v>0</v>
      </c>
      <c r="X5" s="16">
        <v>5.1821195118255758</v>
      </c>
    </row>
    <row r="6" spans="2:24" hidden="1" x14ac:dyDescent="0.2">
      <c r="B6" s="14" t="s">
        <v>50</v>
      </c>
      <c r="C6" s="14" t="s">
        <v>54</v>
      </c>
      <c r="D6" s="15" t="s">
        <v>52</v>
      </c>
      <c r="E6" s="12"/>
      <c r="F6" s="12"/>
      <c r="G6" s="16"/>
      <c r="H6" s="16">
        <f>+SUMIFS([1]C1!$L$4:$L$100000,[1]C1!$H$4:$H$100000,ТМЦ!#REF!)</f>
        <v>0</v>
      </c>
      <c r="I6" s="16"/>
      <c r="J6" s="16"/>
      <c r="K6" s="16">
        <f>+SUMIFS([1]C4!$L$4:$L$100000,[1]C4!$H$4:$H$100000,ТМЦ!#REF!)</f>
        <v>0</v>
      </c>
      <c r="L6" s="16">
        <f>+SUMIFS([1]C5!$L$4:$L$100000,[1]C5!$H$4:$H$100000,ТМЦ!#REF!)</f>
        <v>0</v>
      </c>
      <c r="M6" s="16">
        <f>+SUMIFS([1]C6!$L$4:$L$99910,[1]C6!$H$4:$H$99910,ТМЦ!#REF!)</f>
        <v>0</v>
      </c>
      <c r="N6" s="16"/>
      <c r="O6" s="16">
        <f>+SUMIFS([1]C8!$L$4:$L$99911,[1]C8!$H$4:$H$99911,ТМЦ!#REF!)</f>
        <v>0</v>
      </c>
      <c r="P6" s="16"/>
      <c r="Q6" s="16"/>
      <c r="R6" s="16"/>
      <c r="S6" s="16"/>
      <c r="T6" s="16"/>
      <c r="U6" s="16"/>
      <c r="V6" s="16"/>
      <c r="W6" s="16">
        <f>+SUMIFS([1]C16!$L$4:$L$100000,[1]C16!$H$4:$H$100000,ТМЦ!#REF!)</f>
        <v>0</v>
      </c>
      <c r="X6" s="16">
        <v>0</v>
      </c>
    </row>
    <row r="7" spans="2:24" hidden="1" x14ac:dyDescent="0.2">
      <c r="B7" s="14" t="s">
        <v>50</v>
      </c>
      <c r="C7" s="14" t="s">
        <v>55</v>
      </c>
      <c r="D7" s="15" t="s">
        <v>52</v>
      </c>
      <c r="E7" s="12"/>
      <c r="F7" s="12"/>
      <c r="G7" s="16"/>
      <c r="H7" s="16">
        <f>+SUMIFS([1]C1!$L$4:$L$100000,[1]C1!$H$4:$H$100000,ТМЦ!#REF!)</f>
        <v>0</v>
      </c>
      <c r="I7" s="16"/>
      <c r="J7" s="16"/>
      <c r="K7" s="16">
        <f>+SUMIFS([1]C4!$L$4:$L$100000,[1]C4!$H$4:$H$100000,ТМЦ!#REF!)</f>
        <v>0</v>
      </c>
      <c r="L7" s="16">
        <f>+SUMIFS([1]C5!$L$4:$L$100000,[1]C5!$H$4:$H$100000,ТМЦ!#REF!)</f>
        <v>0</v>
      </c>
      <c r="M7" s="16">
        <f>+SUMIFS([1]C6!$L$4:$L$99910,[1]C6!$H$4:$H$99910,ТМЦ!#REF!)</f>
        <v>0</v>
      </c>
      <c r="N7" s="16"/>
      <c r="O7" s="16">
        <f>+SUMIFS([1]C8!$L$4:$L$99911,[1]C8!$H$4:$H$99911,ТМЦ!#REF!)</f>
        <v>0</v>
      </c>
      <c r="P7" s="16"/>
      <c r="Q7" s="16"/>
      <c r="R7" s="16"/>
      <c r="S7" s="16"/>
      <c r="T7" s="16"/>
      <c r="U7" s="16"/>
      <c r="V7" s="16"/>
      <c r="W7" s="16">
        <f>+SUMIFS([1]C16!$L$4:$L$100000,[1]C16!$H$4:$H$100000,ТМЦ!#REF!)</f>
        <v>0</v>
      </c>
      <c r="X7" s="16">
        <v>0</v>
      </c>
    </row>
    <row r="8" spans="2:24" x14ac:dyDescent="0.2">
      <c r="B8" s="14" t="s">
        <v>50</v>
      </c>
      <c r="C8" s="14" t="s">
        <v>56</v>
      </c>
      <c r="D8" s="15" t="s">
        <v>52</v>
      </c>
      <c r="E8" s="12" t="s">
        <v>97</v>
      </c>
      <c r="F8" s="12"/>
      <c r="G8" s="16"/>
      <c r="H8" s="16">
        <f>+SUMIFS([1]C1!$L$4:$L$100000,[1]C1!$H$4:$H$100000,ТМЦ!#REF!)</f>
        <v>0</v>
      </c>
      <c r="I8" s="16"/>
      <c r="J8" s="16"/>
      <c r="K8" s="16">
        <f>+SUMIFS([1]C4!$L$4:$L$100000,[1]C4!$H$4:$H$100000,ТМЦ!#REF!)</f>
        <v>0</v>
      </c>
      <c r="L8" s="16">
        <f>+SUMIFS([1]C5!$L$4:$L$100000,[1]C5!$H$4:$H$100000,ТМЦ!#REF!)</f>
        <v>0</v>
      </c>
      <c r="M8" s="16">
        <f>+SUMIFS([1]C6!$L$4:$L$99910,[1]C6!$H$4:$H$99910,ТМЦ!#REF!)</f>
        <v>0</v>
      </c>
      <c r="N8" s="16"/>
      <c r="O8" s="16">
        <f>+SUMIFS([1]C8!$L$4:$L$99911,[1]C8!$H$4:$H$99911,ТМЦ!#REF!)</f>
        <v>0</v>
      </c>
      <c r="P8" s="16"/>
      <c r="Q8" s="16"/>
      <c r="R8" s="16"/>
      <c r="S8" s="16"/>
      <c r="T8" s="16"/>
      <c r="U8" s="16"/>
      <c r="V8" s="16"/>
      <c r="W8" s="16">
        <f>+SUMIFS([1]C16!$L$4:$L$100000,[1]C16!$H$4:$H$100000,ТМЦ!#REF!)</f>
        <v>0</v>
      </c>
      <c r="X8" s="16">
        <v>976.18306200000006</v>
      </c>
    </row>
    <row r="9" spans="2:24" hidden="1" x14ac:dyDescent="0.2">
      <c r="B9" s="14" t="s">
        <v>50</v>
      </c>
      <c r="C9" s="14" t="s">
        <v>57</v>
      </c>
      <c r="D9" s="15" t="s">
        <v>52</v>
      </c>
      <c r="E9" s="12"/>
      <c r="F9" s="12"/>
      <c r="G9" s="16"/>
      <c r="H9" s="16">
        <f>+SUMIFS([1]C1!$L$4:$L$100000,[1]C1!$H$4:$H$100000,ТМЦ!#REF!)</f>
        <v>0</v>
      </c>
      <c r="I9" s="16"/>
      <c r="J9" s="16"/>
      <c r="K9" s="16">
        <f>+SUMIFS([1]C4!$L$4:$L$100000,[1]C4!$H$4:$H$100000,ТМЦ!#REF!)</f>
        <v>0</v>
      </c>
      <c r="L9" s="16">
        <f>+SUMIFS([1]C5!$L$4:$L$100000,[1]C5!$H$4:$H$100000,ТМЦ!#REF!)</f>
        <v>0</v>
      </c>
      <c r="M9" s="16">
        <f>+SUMIFS([1]C6!$L$4:$L$99910,[1]C6!$H$4:$H$99910,ТМЦ!#REF!)</f>
        <v>0</v>
      </c>
      <c r="N9" s="16"/>
      <c r="O9" s="16">
        <f>+SUMIFS([1]C8!$L$4:$L$99911,[1]C8!$H$4:$H$99911,ТМЦ!#REF!)</f>
        <v>0</v>
      </c>
      <c r="P9" s="16"/>
      <c r="Q9" s="16"/>
      <c r="R9" s="16"/>
      <c r="S9" s="16"/>
      <c r="T9" s="16"/>
      <c r="U9" s="16"/>
      <c r="V9" s="16"/>
      <c r="W9" s="16">
        <f>+SUMIFS([1]C16!$L$4:$L$100000,[1]C16!$H$4:$H$100000,ТМЦ!#REF!)</f>
        <v>0</v>
      </c>
      <c r="X9" s="16">
        <v>0</v>
      </c>
    </row>
    <row r="10" spans="2:24" hidden="1" x14ac:dyDescent="0.2">
      <c r="B10" s="14" t="s">
        <v>50</v>
      </c>
      <c r="C10" s="14" t="s">
        <v>58</v>
      </c>
      <c r="D10" s="15" t="s">
        <v>52</v>
      </c>
      <c r="E10" s="12"/>
      <c r="F10" s="12"/>
      <c r="G10" s="16"/>
      <c r="H10" s="16">
        <f>+SUMIFS([1]C1!$L$4:$L$100000,[1]C1!$H$4:$H$100000,ТМЦ!#REF!)</f>
        <v>0</v>
      </c>
      <c r="I10" s="16"/>
      <c r="J10" s="16"/>
      <c r="K10" s="16">
        <f>+SUMIFS([1]C4!$L$4:$L$100000,[1]C4!$H$4:$H$100000,ТМЦ!#REF!)</f>
        <v>0</v>
      </c>
      <c r="L10" s="16">
        <f>+SUMIFS([1]C5!$L$4:$L$100000,[1]C5!$H$4:$H$100000,ТМЦ!#REF!)</f>
        <v>0</v>
      </c>
      <c r="M10" s="16">
        <f>+SUMIFS([1]C6!$L$4:$L$99910,[1]C6!$H$4:$H$99910,ТМЦ!#REF!)</f>
        <v>0</v>
      </c>
      <c r="N10" s="16"/>
      <c r="O10" s="16">
        <f>+SUMIFS([1]C8!$L$4:$L$99911,[1]C8!$H$4:$H$99911,ТМЦ!#REF!)</f>
        <v>0</v>
      </c>
      <c r="P10" s="16"/>
      <c r="Q10" s="16"/>
      <c r="R10" s="16"/>
      <c r="S10" s="16"/>
      <c r="T10" s="16"/>
      <c r="U10" s="16"/>
      <c r="V10" s="16"/>
      <c r="W10" s="16">
        <f>+SUMIFS([1]C16!$L$4:$L$100000,[1]C16!$H$4:$H$100000,ТМЦ!#REF!)</f>
        <v>0</v>
      </c>
      <c r="X10" s="16">
        <v>0</v>
      </c>
    </row>
    <row r="11" spans="2:24" hidden="1" x14ac:dyDescent="0.2">
      <c r="B11" s="14" t="s">
        <v>50</v>
      </c>
      <c r="C11" s="14" t="s">
        <v>59</v>
      </c>
      <c r="D11" s="15" t="s">
        <v>52</v>
      </c>
      <c r="E11" s="12"/>
      <c r="F11" s="12"/>
      <c r="G11" s="16"/>
      <c r="H11" s="16">
        <f>+SUMIFS([1]C1!$L$4:$L$100000,[1]C1!$H$4:$H$100000,ТМЦ!#REF!)</f>
        <v>0</v>
      </c>
      <c r="I11" s="16"/>
      <c r="J11" s="16"/>
      <c r="K11" s="16">
        <f>+SUMIFS([1]C4!$L$4:$L$100000,[1]C4!$H$4:$H$100000,ТМЦ!#REF!)</f>
        <v>0</v>
      </c>
      <c r="L11" s="16">
        <f>+SUMIFS([1]C5!$L$4:$L$100000,[1]C5!$H$4:$H$100000,ТМЦ!#REF!)</f>
        <v>0</v>
      </c>
      <c r="M11" s="16">
        <f>+SUMIFS([1]C6!$L$4:$L$99910,[1]C6!$H$4:$H$99910,ТМЦ!#REF!)</f>
        <v>0</v>
      </c>
      <c r="N11" s="16"/>
      <c r="O11" s="16">
        <f>+SUMIFS([1]C8!$L$4:$L$99911,[1]C8!$H$4:$H$99911,ТМЦ!#REF!)</f>
        <v>0</v>
      </c>
      <c r="P11" s="16"/>
      <c r="Q11" s="16"/>
      <c r="R11" s="16"/>
      <c r="S11" s="16"/>
      <c r="T11" s="16"/>
      <c r="U11" s="16"/>
      <c r="V11" s="16"/>
      <c r="W11" s="16">
        <f>+SUMIFS([1]C16!$L$4:$L$100000,[1]C16!$H$4:$H$100000,ТМЦ!#REF!)</f>
        <v>0</v>
      </c>
      <c r="X11" s="16">
        <v>0</v>
      </c>
    </row>
    <row r="12" spans="2:24" hidden="1" x14ac:dyDescent="0.2">
      <c r="B12" s="14" t="s">
        <v>50</v>
      </c>
      <c r="C12" s="14" t="s">
        <v>60</v>
      </c>
      <c r="D12" s="15" t="s">
        <v>52</v>
      </c>
      <c r="E12" s="12"/>
      <c r="F12" s="12"/>
      <c r="G12" s="16"/>
      <c r="H12" s="16">
        <f>+SUMIFS([1]C1!$L$4:$L$100000,[1]C1!$H$4:$H$100000,ТМЦ!#REF!)</f>
        <v>0</v>
      </c>
      <c r="I12" s="16"/>
      <c r="J12" s="16"/>
      <c r="K12" s="16">
        <f>+SUMIFS([1]C4!$L$4:$L$100000,[1]C4!$H$4:$H$100000,ТМЦ!#REF!)</f>
        <v>0</v>
      </c>
      <c r="L12" s="16">
        <f>+SUMIFS([1]C5!$L$4:$L$100000,[1]C5!$H$4:$H$100000,ТМЦ!#REF!)</f>
        <v>0</v>
      </c>
      <c r="M12" s="16">
        <f>+SUMIFS([1]C6!$L$4:$L$99910,[1]C6!$H$4:$H$99910,ТМЦ!#REF!)</f>
        <v>0</v>
      </c>
      <c r="N12" s="16"/>
      <c r="O12" s="16">
        <f>+SUMIFS([1]C8!$L$4:$L$99911,[1]C8!$H$4:$H$99911,ТМЦ!#REF!)</f>
        <v>0</v>
      </c>
      <c r="P12" s="16"/>
      <c r="Q12" s="16"/>
      <c r="R12" s="16"/>
      <c r="S12" s="16"/>
      <c r="T12" s="16"/>
      <c r="U12" s="16"/>
      <c r="V12" s="16"/>
      <c r="W12" s="16">
        <f>+SUMIFS([1]C16!$L$4:$L$100000,[1]C16!$H$4:$H$100000,ТМЦ!#REF!)</f>
        <v>0</v>
      </c>
      <c r="X12" s="16">
        <v>0</v>
      </c>
    </row>
    <row r="13" spans="2:24" hidden="1" x14ac:dyDescent="0.2">
      <c r="B13" s="14" t="s">
        <v>50</v>
      </c>
      <c r="C13" s="14" t="s">
        <v>61</v>
      </c>
      <c r="D13" s="15" t="s">
        <v>52</v>
      </c>
      <c r="E13" s="12"/>
      <c r="F13" s="12"/>
      <c r="G13" s="16"/>
      <c r="H13" s="16">
        <f>+SUMIFS([1]C1!$L$4:$L$100000,[1]C1!$H$4:$H$100000,ТМЦ!#REF!)</f>
        <v>0</v>
      </c>
      <c r="I13" s="16"/>
      <c r="J13" s="16"/>
      <c r="K13" s="16">
        <f>+SUMIFS([1]C4!$L$4:$L$100000,[1]C4!$H$4:$H$100000,ТМЦ!#REF!)</f>
        <v>0</v>
      </c>
      <c r="L13" s="16">
        <f>+SUMIFS([1]C5!$L$4:$L$100000,[1]C5!$H$4:$H$100000,ТМЦ!#REF!)</f>
        <v>0</v>
      </c>
      <c r="M13" s="16">
        <f>+SUMIFS([1]C6!$L$4:$L$99910,[1]C6!$H$4:$H$99910,ТМЦ!#REF!)</f>
        <v>0</v>
      </c>
      <c r="N13" s="16"/>
      <c r="O13" s="16">
        <f>+SUMIFS([1]C8!$L$4:$L$99911,[1]C8!$H$4:$H$99911,ТМЦ!#REF!)</f>
        <v>0</v>
      </c>
      <c r="P13" s="16"/>
      <c r="Q13" s="16"/>
      <c r="R13" s="16"/>
      <c r="S13" s="16"/>
      <c r="T13" s="16"/>
      <c r="U13" s="16"/>
      <c r="V13" s="16"/>
      <c r="W13" s="16">
        <f>+SUMIFS([1]C16!$L$4:$L$100000,[1]C16!$H$4:$H$100000,ТМЦ!#REF!)</f>
        <v>0</v>
      </c>
      <c r="X13" s="16">
        <v>0</v>
      </c>
    </row>
    <row r="14" spans="2:24" hidden="1" x14ac:dyDescent="0.2">
      <c r="B14" s="14" t="s">
        <v>50</v>
      </c>
      <c r="C14" s="14" t="s">
        <v>62</v>
      </c>
      <c r="D14" s="15" t="s">
        <v>52</v>
      </c>
      <c r="E14" s="12"/>
      <c r="F14" s="12"/>
      <c r="G14" s="16"/>
      <c r="H14" s="16">
        <f>+SUMIFS([1]C1!$L$4:$L$100000,[1]C1!$H$4:$H$100000,ТМЦ!#REF!)</f>
        <v>0</v>
      </c>
      <c r="I14" s="16"/>
      <c r="J14" s="16"/>
      <c r="K14" s="16">
        <f>+SUMIFS([1]C4!$L$4:$L$100000,[1]C4!$H$4:$H$100000,ТМЦ!#REF!)</f>
        <v>0</v>
      </c>
      <c r="L14" s="16">
        <f>+SUMIFS([1]C5!$L$4:$L$100000,[1]C5!$H$4:$H$100000,ТМЦ!#REF!)</f>
        <v>0</v>
      </c>
      <c r="M14" s="16">
        <f>+SUMIFS([1]C6!$L$4:$L$99910,[1]C6!$H$4:$H$99910,ТМЦ!#REF!)</f>
        <v>0</v>
      </c>
      <c r="N14" s="16"/>
      <c r="O14" s="16">
        <f>+SUMIFS([1]C8!$L$4:$L$99911,[1]C8!$H$4:$H$99911,ТМЦ!#REF!)</f>
        <v>0</v>
      </c>
      <c r="P14" s="16"/>
      <c r="Q14" s="16"/>
      <c r="R14" s="16"/>
      <c r="S14" s="16"/>
      <c r="T14" s="16"/>
      <c r="U14" s="16"/>
      <c r="V14" s="16"/>
      <c r="W14" s="16">
        <f>+SUMIFS([1]C16!$L$4:$L$100000,[1]C16!$H$4:$H$100000,ТМЦ!#REF!)</f>
        <v>0</v>
      </c>
      <c r="X14" s="16">
        <v>0</v>
      </c>
    </row>
    <row r="15" spans="2:24" hidden="1" x14ac:dyDescent="0.2">
      <c r="B15" s="14" t="s">
        <v>50</v>
      </c>
      <c r="C15" s="14" t="s">
        <v>63</v>
      </c>
      <c r="D15" s="15" t="s">
        <v>52</v>
      </c>
      <c r="E15" s="12"/>
      <c r="F15" s="12"/>
      <c r="G15" s="16"/>
      <c r="H15" s="16">
        <f>+SUMIFS([1]C1!$L$4:$L$100000,[1]C1!$H$4:$H$100000,ТМЦ!#REF!)</f>
        <v>0</v>
      </c>
      <c r="I15" s="16"/>
      <c r="J15" s="16"/>
      <c r="K15" s="16">
        <f>+SUMIFS([1]C4!$L$4:$L$100000,[1]C4!$H$4:$H$100000,ТМЦ!#REF!)</f>
        <v>0</v>
      </c>
      <c r="L15" s="16">
        <f>+SUMIFS([1]C5!$L$4:$L$100000,[1]C5!$H$4:$H$100000,ТМЦ!#REF!)</f>
        <v>0</v>
      </c>
      <c r="M15" s="16">
        <f>+SUMIFS([1]C6!$L$4:$L$99910,[1]C6!$H$4:$H$99910,ТМЦ!#REF!)</f>
        <v>0</v>
      </c>
      <c r="N15" s="16"/>
      <c r="O15" s="16">
        <f>+SUMIFS([1]C8!$L$4:$L$99911,[1]C8!$H$4:$H$99911,ТМЦ!#REF!)</f>
        <v>0</v>
      </c>
      <c r="P15" s="16"/>
      <c r="Q15" s="16"/>
      <c r="R15" s="16"/>
      <c r="S15" s="16"/>
      <c r="T15" s="16"/>
      <c r="U15" s="16"/>
      <c r="V15" s="16"/>
      <c r="W15" s="16">
        <f>+SUMIFS([1]C16!$L$4:$L$100000,[1]C16!$H$4:$H$100000,ТМЦ!#REF!)</f>
        <v>0</v>
      </c>
      <c r="X15" s="16">
        <v>0</v>
      </c>
    </row>
    <row r="16" spans="2:24" hidden="1" x14ac:dyDescent="0.2">
      <c r="B16" s="14" t="s">
        <v>50</v>
      </c>
      <c r="C16" s="14" t="s">
        <v>64</v>
      </c>
      <c r="D16" s="15" t="s">
        <v>52</v>
      </c>
      <c r="E16" s="12"/>
      <c r="F16" s="12"/>
      <c r="G16" s="16"/>
      <c r="H16" s="16">
        <f>+SUMIFS([1]C1!$L$4:$L$100000,[1]C1!$H$4:$H$100000,ТМЦ!#REF!)</f>
        <v>0</v>
      </c>
      <c r="I16" s="16"/>
      <c r="J16" s="16"/>
      <c r="K16" s="16">
        <f>+SUMIFS([1]C4!$L$4:$L$100000,[1]C4!$H$4:$H$100000,ТМЦ!#REF!)</f>
        <v>0</v>
      </c>
      <c r="L16" s="16">
        <f>+SUMIFS([1]C5!$L$4:$L$100000,[1]C5!$H$4:$H$100000,ТМЦ!#REF!)</f>
        <v>0</v>
      </c>
      <c r="M16" s="16">
        <f>+SUMIFS([1]C6!$L$4:$L$99910,[1]C6!$H$4:$H$99910,ТМЦ!#REF!)</f>
        <v>0</v>
      </c>
      <c r="N16" s="16"/>
      <c r="O16" s="16">
        <f>+SUMIFS([1]C8!$L$4:$L$99911,[1]C8!$H$4:$H$99911,ТМЦ!#REF!)</f>
        <v>0</v>
      </c>
      <c r="P16" s="16"/>
      <c r="Q16" s="16"/>
      <c r="R16" s="16"/>
      <c r="S16" s="16"/>
      <c r="T16" s="16"/>
      <c r="U16" s="16"/>
      <c r="V16" s="16"/>
      <c r="W16" s="16">
        <f>+SUMIFS([1]C16!$L$4:$L$100000,[1]C16!$H$4:$H$100000,ТМЦ!#REF!)</f>
        <v>0</v>
      </c>
      <c r="X16" s="16">
        <v>0</v>
      </c>
    </row>
    <row r="17" spans="2:24" hidden="1" x14ac:dyDescent="0.2">
      <c r="B17" s="14"/>
      <c r="C17" s="14"/>
      <c r="D17" s="14"/>
      <c r="E17" s="12"/>
      <c r="F17" s="12"/>
      <c r="G17" s="16"/>
      <c r="H17" s="16">
        <f>+SUMIFS([1]C1!$L$4:$L$100000,[1]C1!$H$4:$H$100000,ТМЦ!#REF!)</f>
        <v>0</v>
      </c>
      <c r="I17" s="16"/>
      <c r="J17" s="16"/>
      <c r="K17" s="16">
        <f>+SUMIFS([1]C4!$L$4:$L$100000,[1]C4!$H$4:$H$100000,ТМЦ!#REF!)</f>
        <v>0</v>
      </c>
      <c r="L17" s="16">
        <f>+SUMIFS([1]C5!$L$4:$L$100000,[1]C5!$H$4:$H$100000,ТМЦ!#REF!)</f>
        <v>0</v>
      </c>
      <c r="M17" s="16">
        <f>+SUMIFS([1]C6!$L$4:$L$99910,[1]C6!$H$4:$H$99910,ТМЦ!#REF!)</f>
        <v>0</v>
      </c>
      <c r="N17" s="16"/>
      <c r="O17" s="16">
        <f>+SUMIFS([1]C8!$L$4:$L$99911,[1]C8!$H$4:$H$99911,ТМЦ!#REF!)</f>
        <v>0</v>
      </c>
      <c r="P17" s="16"/>
      <c r="Q17" s="16"/>
      <c r="R17" s="16"/>
      <c r="S17" s="16"/>
      <c r="T17" s="16"/>
      <c r="U17" s="16"/>
      <c r="V17" s="16"/>
      <c r="W17" s="16">
        <f>+SUMIFS([1]C16!$L$4:$L$100000,[1]C16!$H$4:$H$100000,ТМЦ!#REF!)</f>
        <v>0</v>
      </c>
      <c r="X17" s="16">
        <v>0</v>
      </c>
    </row>
    <row r="18" spans="2:24" x14ac:dyDescent="0.2">
      <c r="B18" s="14" t="s">
        <v>65</v>
      </c>
      <c r="C18" s="14" t="s">
        <v>66</v>
      </c>
      <c r="D18" s="15" t="s">
        <v>52</v>
      </c>
      <c r="E18" s="12" t="s">
        <v>97</v>
      </c>
      <c r="F18" s="12"/>
      <c r="G18" s="16"/>
      <c r="H18" s="16">
        <f>+SUMIFS([1]C1!$L$4:$L$100000,[1]C1!$H$4:$H$100000,ТМЦ!#REF!)</f>
        <v>0</v>
      </c>
      <c r="I18" s="16"/>
      <c r="J18" s="16"/>
      <c r="K18" s="16">
        <f>+SUMIFS([1]C4!$L$4:$L$100000,[1]C4!$H$4:$H$100000,ТМЦ!#REF!)</f>
        <v>0</v>
      </c>
      <c r="L18" s="16">
        <f>+SUMIFS([1]C5!$L$4:$L$100000,[1]C5!$H$4:$H$100000,ТМЦ!#REF!)</f>
        <v>0</v>
      </c>
      <c r="M18" s="16">
        <f>+SUMIFS([1]C6!$L$4:$L$99910,[1]C6!$H$4:$H$99910,ТМЦ!#REF!)</f>
        <v>0</v>
      </c>
      <c r="N18" s="16"/>
      <c r="O18" s="16">
        <f>+SUMIFS([1]C8!$L$4:$L$99911,[1]C8!$H$4:$H$99911,ТМЦ!#REF!)</f>
        <v>0</v>
      </c>
      <c r="P18" s="16"/>
      <c r="Q18" s="16"/>
      <c r="R18" s="16"/>
      <c r="S18" s="16"/>
      <c r="T18" s="16"/>
      <c r="U18" s="16"/>
      <c r="V18" s="16"/>
      <c r="W18" s="16">
        <f>+SUMIFS([1]C16!$L$4:$L$100000,[1]C16!$H$4:$H$100000,ТМЦ!#REF!)</f>
        <v>0</v>
      </c>
      <c r="X18" s="16">
        <v>128.74593934391595</v>
      </c>
    </row>
    <row r="19" spans="2:24" hidden="1" x14ac:dyDescent="0.2">
      <c r="B19" s="14" t="s">
        <v>67</v>
      </c>
      <c r="C19" s="14" t="s">
        <v>68</v>
      </c>
      <c r="D19" s="15" t="s">
        <v>52</v>
      </c>
      <c r="E19" s="12"/>
      <c r="F19" s="12"/>
      <c r="G19" s="16"/>
      <c r="H19" s="16">
        <f>+SUMIFS([1]C1!$L$4:$L$100000,[1]C1!$H$4:$H$100000,ТМЦ!#REF!)</f>
        <v>0</v>
      </c>
      <c r="I19" s="16"/>
      <c r="J19" s="16"/>
      <c r="K19" s="16">
        <f>+SUMIFS([1]C4!$L$4:$L$100000,[1]C4!$H$4:$H$100000,ТМЦ!#REF!)</f>
        <v>0</v>
      </c>
      <c r="L19" s="16">
        <f>+SUMIFS([1]C5!$L$4:$L$100000,[1]C5!$H$4:$H$100000,ТМЦ!#REF!)</f>
        <v>0</v>
      </c>
      <c r="M19" s="16">
        <f>+SUMIFS([1]C6!$L$4:$L$99910,[1]C6!$H$4:$H$99910,ТМЦ!#REF!)</f>
        <v>0</v>
      </c>
      <c r="N19" s="16"/>
      <c r="O19" s="16">
        <f>+SUMIFS([1]C8!$L$4:$L$99911,[1]C8!$H$4:$H$99911,ТМЦ!#REF!)</f>
        <v>0</v>
      </c>
      <c r="P19" s="16"/>
      <c r="Q19" s="16"/>
      <c r="R19" s="16"/>
      <c r="S19" s="16"/>
      <c r="T19" s="16"/>
      <c r="U19" s="16"/>
      <c r="V19" s="16"/>
      <c r="W19" s="16">
        <f>+SUMIFS([1]C16!$L$4:$L$100000,[1]C16!$H$4:$H$100000,ТМЦ!#REF!)</f>
        <v>0</v>
      </c>
      <c r="X19" s="16">
        <v>0</v>
      </c>
    </row>
    <row r="20" spans="2:24" hidden="1" x14ac:dyDescent="0.2">
      <c r="B20" s="14" t="s">
        <v>69</v>
      </c>
      <c r="C20" s="14" t="s">
        <v>70</v>
      </c>
      <c r="D20" s="15" t="s">
        <v>71</v>
      </c>
      <c r="E20" s="12"/>
      <c r="F20" s="12"/>
      <c r="G20" s="16"/>
      <c r="H20" s="16">
        <f>+SUMIFS([1]C1!$L$4:$L$100000,[1]C1!$H$4:$H$100000,ТМЦ!#REF!)</f>
        <v>0</v>
      </c>
      <c r="I20" s="16"/>
      <c r="J20" s="16"/>
      <c r="K20" s="16">
        <f>+SUMIFS([1]C4!$L$4:$L$100000,[1]C4!$H$4:$H$100000,ТМЦ!#REF!)</f>
        <v>0</v>
      </c>
      <c r="L20" s="16">
        <f>+SUMIFS([1]C5!$L$4:$L$100000,[1]C5!$H$4:$H$100000,ТМЦ!#REF!)</f>
        <v>0</v>
      </c>
      <c r="M20" s="16">
        <f>+SUMIFS([1]C6!$L$4:$L$99910,[1]C6!$H$4:$H$99910,ТМЦ!#REF!)</f>
        <v>0</v>
      </c>
      <c r="N20" s="16"/>
      <c r="O20" s="16">
        <f>+SUMIFS([1]C8!$L$4:$L$99911,[1]C8!$H$4:$H$99911,ТМЦ!#REF!)</f>
        <v>0</v>
      </c>
      <c r="P20" s="16"/>
      <c r="Q20" s="16"/>
      <c r="R20" s="16"/>
      <c r="S20" s="16"/>
      <c r="T20" s="16"/>
      <c r="U20" s="16"/>
      <c r="V20" s="16"/>
      <c r="W20" s="16">
        <f>+SUMIFS([1]C16!$L$4:$L$100000,[1]C16!$H$4:$H$100000,ТМЦ!#REF!)</f>
        <v>0</v>
      </c>
      <c r="X20" s="16">
        <v>0</v>
      </c>
    </row>
    <row r="21" spans="2:24" hidden="1" x14ac:dyDescent="0.2">
      <c r="B21" s="18" t="s">
        <v>72</v>
      </c>
      <c r="C21" s="18" t="s">
        <v>73</v>
      </c>
      <c r="D21" s="19" t="s">
        <v>74</v>
      </c>
      <c r="E21" s="12"/>
      <c r="F21" s="12"/>
      <c r="G21" s="16"/>
      <c r="H21" s="16">
        <f>+SUMIFS([1]C1!$L$4:$L$100000,[1]C1!$H$4:$H$100000,ТМЦ!#REF!)</f>
        <v>0</v>
      </c>
      <c r="I21" s="16"/>
      <c r="J21" s="16"/>
      <c r="K21" s="16">
        <f>+SUMIFS([1]C4!$L$4:$L$100000,[1]C4!$H$4:$H$100000,ТМЦ!#REF!)</f>
        <v>0</v>
      </c>
      <c r="L21" s="16">
        <f>+SUMIFS([1]C5!$L$4:$L$100000,[1]C5!$H$4:$H$100000,ТМЦ!#REF!)</f>
        <v>0</v>
      </c>
      <c r="M21" s="16">
        <f>+SUMIFS([1]C6!$L$4:$L$99910,[1]C6!$H$4:$H$99910,ТМЦ!#REF!)</f>
        <v>0</v>
      </c>
      <c r="N21" s="16"/>
      <c r="O21" s="16">
        <f>+SUMIFS([1]C8!$L$4:$L$99911,[1]C8!$H$4:$H$99911,ТМЦ!#REF!)</f>
        <v>0</v>
      </c>
      <c r="P21" s="16"/>
      <c r="Q21" s="16"/>
      <c r="R21" s="16"/>
      <c r="S21" s="16"/>
      <c r="T21" s="16"/>
      <c r="U21" s="16"/>
      <c r="V21" s="16"/>
      <c r="W21" s="16">
        <f>+SUMIFS([1]C16!$L$4:$L$100000,[1]C16!$H$4:$H$100000,ТМЦ!#REF!)</f>
        <v>0</v>
      </c>
      <c r="X21" s="16">
        <v>0</v>
      </c>
    </row>
    <row r="22" spans="2:24" hidden="1" x14ac:dyDescent="0.2">
      <c r="B22" s="14"/>
      <c r="C22" s="14"/>
      <c r="D22" s="14"/>
      <c r="E22" s="12"/>
      <c r="F22" s="12"/>
      <c r="G22" s="16"/>
      <c r="H22" s="16">
        <f>+SUMIFS([1]C1!$L$4:$L$100000,[1]C1!$H$4:$H$100000,ТМЦ!#REF!)</f>
        <v>0</v>
      </c>
      <c r="I22" s="16"/>
      <c r="J22" s="16"/>
      <c r="K22" s="16">
        <f>+SUMIFS([1]C4!$L$4:$L$100000,[1]C4!$H$4:$H$100000,ТМЦ!#REF!)</f>
        <v>0</v>
      </c>
      <c r="L22" s="16">
        <f>+SUMIFS([1]C5!$L$4:$L$100000,[1]C5!$H$4:$H$100000,ТМЦ!#REF!)</f>
        <v>0</v>
      </c>
      <c r="M22" s="16">
        <f>+SUMIFS([1]C6!$L$4:$L$99910,[1]C6!$H$4:$H$99910,ТМЦ!#REF!)</f>
        <v>0</v>
      </c>
      <c r="N22" s="16"/>
      <c r="O22" s="16">
        <f>+SUMIFS([1]C8!$L$4:$L$99911,[1]C8!$H$4:$H$99911,ТМЦ!#REF!)</f>
        <v>0</v>
      </c>
      <c r="P22" s="16"/>
      <c r="Q22" s="16"/>
      <c r="R22" s="16"/>
      <c r="S22" s="16"/>
      <c r="T22" s="16"/>
      <c r="U22" s="16"/>
      <c r="V22" s="16"/>
      <c r="W22" s="16">
        <f>+SUMIFS([1]C16!$L$4:$L$100000,[1]C16!$H$4:$H$100000,ТМЦ!#REF!)</f>
        <v>0</v>
      </c>
      <c r="X22" s="16">
        <v>0</v>
      </c>
    </row>
    <row r="23" spans="2:24" x14ac:dyDescent="0.2">
      <c r="B23" s="14" t="s">
        <v>75</v>
      </c>
      <c r="C23" s="14" t="s">
        <v>76</v>
      </c>
      <c r="D23" s="15" t="s">
        <v>77</v>
      </c>
      <c r="E23" s="12" t="s">
        <v>97</v>
      </c>
      <c r="F23" s="12"/>
      <c r="G23" s="16"/>
      <c r="H23" s="16">
        <f>+SUMIFS([1]C1!$L$4:$L$100000,[1]C1!$H$4:$H$100000,ТМЦ!#REF!)</f>
        <v>0</v>
      </c>
      <c r="I23" s="16"/>
      <c r="J23" s="16"/>
      <c r="K23" s="16">
        <f>+SUMIFS([1]C4!$L$4:$L$100000,[1]C4!$H$4:$H$100000,ТМЦ!#REF!)</f>
        <v>0</v>
      </c>
      <c r="L23" s="16">
        <f>+SUMIFS([1]C5!$L$4:$L$100000,[1]C5!$H$4:$H$100000,ТМЦ!#REF!)</f>
        <v>0</v>
      </c>
      <c r="M23" s="16">
        <f>+SUMIFS([1]C6!$L$4:$L$99910,[1]C6!$H$4:$H$99910,ТМЦ!#REF!)</f>
        <v>0</v>
      </c>
      <c r="N23" s="16"/>
      <c r="O23" s="16">
        <f>+SUMIFS([1]C8!$L$4:$L$99911,[1]C8!$H$4:$H$99911,ТМЦ!#REF!)</f>
        <v>0</v>
      </c>
      <c r="P23" s="16"/>
      <c r="Q23" s="16"/>
      <c r="R23" s="16"/>
      <c r="S23" s="16"/>
      <c r="T23" s="16"/>
      <c r="U23" s="16"/>
      <c r="V23" s="16"/>
      <c r="W23" s="16">
        <f>+SUMIFS([1]C16!$L$4:$L$100000,[1]C16!$H$4:$H$100000,ТМЦ!#REF!)</f>
        <v>0</v>
      </c>
      <c r="X23" s="16">
        <v>574</v>
      </c>
    </row>
    <row r="24" spans="2:24" hidden="1" x14ac:dyDescent="0.2">
      <c r="B24" s="14" t="s">
        <v>78</v>
      </c>
      <c r="C24" s="14" t="s">
        <v>79</v>
      </c>
      <c r="D24" s="15" t="s">
        <v>77</v>
      </c>
      <c r="E24" s="12"/>
      <c r="F24" s="12"/>
      <c r="G24" s="16"/>
      <c r="H24" s="16">
        <f>+SUMIFS([1]C1!$L$4:$L$100000,[1]C1!$H$4:$H$100000,ТМЦ!#REF!)</f>
        <v>0</v>
      </c>
      <c r="I24" s="16"/>
      <c r="J24" s="16"/>
      <c r="K24" s="16">
        <f>+SUMIFS([1]C4!$L$4:$L$100000,[1]C4!$H$4:$H$100000,ТМЦ!#REF!)</f>
        <v>0</v>
      </c>
      <c r="L24" s="16">
        <f>+SUMIFS([1]C5!$L$4:$L$100000,[1]C5!$H$4:$H$100000,ТМЦ!#REF!)</f>
        <v>0</v>
      </c>
      <c r="M24" s="16">
        <f>+SUMIFS([1]C6!$L$4:$L$99910,[1]C6!$H$4:$H$99910,ТМЦ!#REF!)</f>
        <v>0</v>
      </c>
      <c r="N24" s="16"/>
      <c r="O24" s="16">
        <f>+SUMIFS([1]C8!$L$4:$L$99911,[1]C8!$H$4:$H$99911,ТМЦ!#REF!)</f>
        <v>0</v>
      </c>
      <c r="P24" s="16"/>
      <c r="Q24" s="16"/>
      <c r="R24" s="16"/>
      <c r="S24" s="16"/>
      <c r="T24" s="16"/>
      <c r="U24" s="16"/>
      <c r="V24" s="16"/>
      <c r="W24" s="16">
        <f>+SUMIFS([1]C16!$L$4:$L$100000,[1]C16!$H$4:$H$100000,ТМЦ!#REF!)</f>
        <v>0</v>
      </c>
      <c r="X24" s="16">
        <v>0</v>
      </c>
    </row>
    <row r="25" spans="2:24" hidden="1" x14ac:dyDescent="0.2">
      <c r="B25" s="14"/>
      <c r="C25" s="14"/>
      <c r="D25" s="14"/>
      <c r="E25" s="12"/>
      <c r="F25" s="12"/>
      <c r="G25" s="16"/>
      <c r="H25" s="16">
        <f>+SUMIFS([1]C1!$L$4:$L$100000,[1]C1!$H$4:$H$100000,ТМЦ!#REF!)</f>
        <v>0</v>
      </c>
      <c r="I25" s="16"/>
      <c r="J25" s="16"/>
      <c r="K25" s="16">
        <f>+SUMIFS([1]C4!$L$4:$L$100000,[1]C4!$H$4:$H$100000,ТМЦ!#REF!)</f>
        <v>0</v>
      </c>
      <c r="L25" s="16">
        <f>+SUMIFS([1]C5!$L$4:$L$100000,[1]C5!$H$4:$H$100000,ТМЦ!#REF!)</f>
        <v>0</v>
      </c>
      <c r="M25" s="16">
        <f>+SUMIFS([1]C6!$L$4:$L$99910,[1]C6!$H$4:$H$99910,ТМЦ!#REF!)</f>
        <v>0</v>
      </c>
      <c r="N25" s="16"/>
      <c r="O25" s="16">
        <f>+SUMIFS([1]C8!$L$4:$L$99911,[1]C8!$H$4:$H$99911,ТМЦ!#REF!)</f>
        <v>0</v>
      </c>
      <c r="P25" s="16"/>
      <c r="Q25" s="16"/>
      <c r="R25" s="16"/>
      <c r="S25" s="16"/>
      <c r="T25" s="16"/>
      <c r="U25" s="16"/>
      <c r="V25" s="16"/>
      <c r="W25" s="16">
        <f>+SUMIFS([1]C16!$L$4:$L$100000,[1]C16!$H$4:$H$100000,ТМЦ!#REF!)</f>
        <v>0</v>
      </c>
      <c r="X25" s="16">
        <v>0</v>
      </c>
    </row>
    <row r="26" spans="2:24" ht="15.75" hidden="1" customHeight="1" x14ac:dyDescent="0.2">
      <c r="B26" s="14" t="s">
        <v>80</v>
      </c>
      <c r="C26" s="14" t="s">
        <v>81</v>
      </c>
      <c r="D26" s="15" t="s">
        <v>52</v>
      </c>
      <c r="E26" s="12"/>
      <c r="F26" s="12"/>
      <c r="G26" s="16"/>
      <c r="H26" s="16">
        <f>+SUMIFS([1]C1!$L$4:$L$100000,[1]C1!$H$4:$H$100000,ТМЦ!#REF!)</f>
        <v>0</v>
      </c>
      <c r="I26" s="16"/>
      <c r="J26" s="16"/>
      <c r="K26" s="16">
        <f>+SUMIFS([1]C4!$L$4:$L$100000,[1]C4!$H$4:$H$100000,ТМЦ!#REF!)</f>
        <v>0</v>
      </c>
      <c r="L26" s="16">
        <f>+SUMIFS([1]C5!$L$4:$L$100000,[1]C5!$H$4:$H$100000,ТМЦ!#REF!)</f>
        <v>0</v>
      </c>
      <c r="M26" s="16">
        <f>+SUMIFS([1]C6!$L$4:$L$99910,[1]C6!$H$4:$H$99910,ТМЦ!#REF!)</f>
        <v>0</v>
      </c>
      <c r="N26" s="16"/>
      <c r="O26" s="16">
        <f>+SUMIFS([1]C8!$L$4:$L$99911,[1]C8!$H$4:$H$99911,ТМЦ!#REF!)</f>
        <v>0</v>
      </c>
      <c r="P26" s="16"/>
      <c r="Q26" s="16"/>
      <c r="R26" s="16"/>
      <c r="S26" s="16"/>
      <c r="T26" s="16"/>
      <c r="U26" s="16"/>
      <c r="V26" s="16"/>
      <c r="W26" s="16">
        <f>+SUMIFS([1]C16!$L$4:$L$100000,[1]C16!$H$4:$H$100000,ТМЦ!#REF!)</f>
        <v>0</v>
      </c>
      <c r="X26" s="16">
        <v>0</v>
      </c>
    </row>
    <row r="27" spans="2:24" ht="15.75" customHeight="1" x14ac:dyDescent="0.2">
      <c r="B27" s="14" t="s">
        <v>82</v>
      </c>
      <c r="C27" s="14" t="s">
        <v>83</v>
      </c>
      <c r="D27" s="15" t="s">
        <v>52</v>
      </c>
      <c r="E27" s="12" t="s">
        <v>97</v>
      </c>
      <c r="F27" s="12"/>
      <c r="G27" s="16"/>
      <c r="H27" s="16">
        <f>+SUMIFS([1]C1!$L$4:$L$100000,[1]C1!$H$4:$H$100000,ТМЦ!#REF!)</f>
        <v>0</v>
      </c>
      <c r="I27" s="16"/>
      <c r="J27" s="16"/>
      <c r="K27" s="16">
        <f>+SUMIFS([1]C4!$L$4:$L$100000,[1]C4!$H$4:$H$100000,ТМЦ!#REF!)</f>
        <v>0</v>
      </c>
      <c r="L27" s="16">
        <f>+SUMIFS([1]C5!$L$4:$L$100000,[1]C5!$H$4:$H$100000,ТМЦ!#REF!)</f>
        <v>0</v>
      </c>
      <c r="M27" s="16">
        <f>+SUMIFS([1]C6!$L$4:$L$99910,[1]C6!$H$4:$H$99910,ТМЦ!#REF!)</f>
        <v>0</v>
      </c>
      <c r="N27" s="16"/>
      <c r="O27" s="16">
        <f>+SUMIFS([1]C8!$L$4:$L$99911,[1]C8!$H$4:$H$99911,ТМЦ!#REF!)</f>
        <v>0</v>
      </c>
      <c r="P27" s="16"/>
      <c r="Q27" s="16"/>
      <c r="R27" s="16"/>
      <c r="S27" s="16"/>
      <c r="T27" s="16"/>
      <c r="U27" s="16"/>
      <c r="V27" s="16"/>
      <c r="W27" s="16">
        <f>+SUMIFS([1]C16!$L$4:$L$100000,[1]C16!$H$4:$H$100000,ТМЦ!#REF!)</f>
        <v>0</v>
      </c>
      <c r="X27" s="16">
        <v>2213.2155024000003</v>
      </c>
    </row>
    <row r="28" spans="2:24" ht="15.75" customHeight="1" x14ac:dyDescent="0.2">
      <c r="B28" s="14" t="s">
        <v>84</v>
      </c>
      <c r="C28" s="13" t="s">
        <v>85</v>
      </c>
      <c r="D28" s="15" t="s">
        <v>86</v>
      </c>
      <c r="E28" s="12" t="s">
        <v>97</v>
      </c>
      <c r="F28" s="12"/>
      <c r="G28" s="16"/>
      <c r="H28" s="16">
        <f>+SUMIFS([1]C1!$L$4:$L$100000,[1]C1!$H$4:$H$100000,ТМЦ!#REF!)</f>
        <v>0</v>
      </c>
      <c r="I28" s="16"/>
      <c r="J28" s="16"/>
      <c r="K28" s="16">
        <f>+SUMIFS([1]C4!$L$4:$L$100000,[1]C4!$H$4:$H$100000,ТМЦ!#REF!)</f>
        <v>0</v>
      </c>
      <c r="L28" s="16">
        <f>+SUMIFS([1]C5!$L$4:$L$100000,[1]C5!$H$4:$H$100000,ТМЦ!#REF!)</f>
        <v>0</v>
      </c>
      <c r="M28" s="16">
        <f>+SUMIFS([1]C6!$L$4:$L$99910,[1]C6!$H$4:$H$99910,ТМЦ!#REF!)</f>
        <v>0</v>
      </c>
      <c r="N28" s="16"/>
      <c r="O28" s="16">
        <f>+SUMIFS([1]C8!$L$4:$L$99911,[1]C8!$H$4:$H$99911,ТМЦ!#REF!)</f>
        <v>0</v>
      </c>
      <c r="P28" s="16"/>
      <c r="Q28" s="16"/>
      <c r="R28" s="16"/>
      <c r="S28" s="16"/>
      <c r="T28" s="16"/>
      <c r="U28" s="16"/>
      <c r="V28" s="16"/>
      <c r="W28" s="16">
        <f>+SUMIFS([1]C16!$L$4:$L$100000,[1]C16!$H$4:$H$100000,ТМЦ!#REF!)</f>
        <v>0</v>
      </c>
      <c r="X28" s="16">
        <v>5856.1420492800007</v>
      </c>
    </row>
    <row r="29" spans="2:24" ht="15.75" hidden="1" customHeight="1" x14ac:dyDescent="0.2">
      <c r="B29" s="14" t="s">
        <v>84</v>
      </c>
      <c r="C29" s="13" t="s">
        <v>87</v>
      </c>
      <c r="D29" s="15" t="s">
        <v>86</v>
      </c>
      <c r="E29" s="12"/>
      <c r="F29" s="12"/>
      <c r="G29" s="16"/>
      <c r="H29" s="16">
        <f>+SUMIFS([1]C1!$L$4:$L$100000,[1]C1!$H$4:$H$100000,ТМЦ!#REF!)</f>
        <v>0</v>
      </c>
      <c r="I29" s="16"/>
      <c r="J29" s="16"/>
      <c r="K29" s="16">
        <f>+SUMIFS([1]C4!$L$4:$L$100000,[1]C4!$H$4:$H$100000,ТМЦ!#REF!)</f>
        <v>0</v>
      </c>
      <c r="L29" s="16">
        <f>+SUMIFS([1]C5!$L$4:$L$100000,[1]C5!$H$4:$H$100000,ТМЦ!#REF!)</f>
        <v>0</v>
      </c>
      <c r="M29" s="16">
        <f>+SUMIFS([1]C6!$L$4:$L$99910,[1]C6!$H$4:$H$99910,ТМЦ!#REF!)</f>
        <v>0</v>
      </c>
      <c r="N29" s="16"/>
      <c r="O29" s="16">
        <f>+SUMIFS([1]C8!$L$4:$L$99911,[1]C8!$H$4:$H$99911,ТМЦ!#REF!)</f>
        <v>0</v>
      </c>
      <c r="P29" s="16"/>
      <c r="Q29" s="16"/>
      <c r="R29" s="16"/>
      <c r="S29" s="16"/>
      <c r="T29" s="16"/>
      <c r="U29" s="16"/>
      <c r="V29" s="16"/>
      <c r="W29" s="16">
        <f>+SUMIFS([1]C16!$L$4:$L$100000,[1]C16!$H$4:$H$100000,ТМЦ!#REF!)</f>
        <v>0</v>
      </c>
      <c r="X29" s="16">
        <v>0</v>
      </c>
    </row>
    <row r="30" spans="2:24" ht="15.75" customHeight="1" x14ac:dyDescent="0.2">
      <c r="B30" s="14" t="s">
        <v>88</v>
      </c>
      <c r="C30" s="20" t="s">
        <v>89</v>
      </c>
      <c r="D30" s="15" t="s">
        <v>77</v>
      </c>
      <c r="E30" s="12" t="s">
        <v>97</v>
      </c>
      <c r="F30" s="12"/>
      <c r="G30" s="16"/>
      <c r="H30" s="16">
        <f>+SUMIFS([1]C1!$L$4:$L$100000,[1]C1!$H$4:$H$100000,ТМЦ!#REF!)</f>
        <v>0</v>
      </c>
      <c r="I30" s="16"/>
      <c r="J30" s="16"/>
      <c r="K30" s="16">
        <f>+SUMIFS([1]C4!$L$4:$L$100000,[1]C4!$H$4:$H$100000,ТМЦ!#REF!)</f>
        <v>0</v>
      </c>
      <c r="L30" s="16">
        <f>+SUMIFS([1]C5!$L$4:$L$100000,[1]C5!$H$4:$H$100000,ТМЦ!#REF!)</f>
        <v>0</v>
      </c>
      <c r="M30" s="16">
        <f>+SUMIFS([1]C6!$L$4:$L$99910,[1]C6!$H$4:$H$99910,ТМЦ!#REF!)</f>
        <v>0</v>
      </c>
      <c r="N30" s="16"/>
      <c r="O30" s="16">
        <f>+SUMIFS([1]C8!$L$4:$L$99911,[1]C8!$H$4:$H$99911,ТМЦ!#REF!)</f>
        <v>0</v>
      </c>
      <c r="P30" s="16"/>
      <c r="Q30" s="16"/>
      <c r="R30" s="16"/>
      <c r="S30" s="16"/>
      <c r="T30" s="16"/>
      <c r="U30" s="16"/>
      <c r="V30" s="16"/>
      <c r="W30" s="16">
        <f>+SUMIFS([1]C16!$L$4:$L$100000,[1]C16!$H$4:$H$100000,ТМЦ!#REF!)</f>
        <v>0</v>
      </c>
      <c r="X30" s="16">
        <v>1332</v>
      </c>
    </row>
    <row r="31" spans="2:24" hidden="1" x14ac:dyDescent="0.2">
      <c r="B31" s="14"/>
      <c r="C31" s="14"/>
      <c r="D31" s="14"/>
      <c r="E31" s="12"/>
      <c r="F31" s="12"/>
      <c r="G31" s="16"/>
      <c r="H31" s="16">
        <f>+SUMIFS([1]C1!$L$4:$L$100000,[1]C1!$H$4:$H$100000,ТМЦ!#REF!)</f>
        <v>0</v>
      </c>
      <c r="I31" s="16"/>
      <c r="J31" s="16"/>
      <c r="K31" s="16">
        <f>+SUMIFS([1]C4!$L$4:$L$100000,[1]C4!$H$4:$H$100000,ТМЦ!#REF!)</f>
        <v>0</v>
      </c>
      <c r="L31" s="16">
        <f>+SUMIFS([1]C5!$L$4:$L$100000,[1]C5!$H$4:$H$100000,ТМЦ!#REF!)</f>
        <v>0</v>
      </c>
      <c r="M31" s="16">
        <f>+SUMIFS([1]C6!$L$4:$L$99910,[1]C6!$H$4:$H$99910,ТМЦ!#REF!)</f>
        <v>0</v>
      </c>
      <c r="N31" s="16"/>
      <c r="O31" s="16">
        <f>+SUMIFS([1]C8!$L$4:$L$99911,[1]C8!$H$4:$H$99911,ТМЦ!#REF!)</f>
        <v>0</v>
      </c>
      <c r="P31" s="16"/>
      <c r="Q31" s="16"/>
      <c r="R31" s="16"/>
      <c r="S31" s="16"/>
      <c r="T31" s="16"/>
      <c r="U31" s="16"/>
      <c r="V31" s="16"/>
      <c r="W31" s="16">
        <f>+SUMIFS([1]C16!$L$4:$L$100000,[1]C16!$H$4:$H$100000,ТМЦ!#REF!)</f>
        <v>0</v>
      </c>
      <c r="X31" s="16">
        <v>0</v>
      </c>
    </row>
    <row r="32" spans="2:24" x14ac:dyDescent="0.2">
      <c r="B32" s="14" t="s">
        <v>90</v>
      </c>
      <c r="C32" s="14" t="s">
        <v>91</v>
      </c>
      <c r="D32" s="15" t="s">
        <v>71</v>
      </c>
      <c r="E32" s="12" t="s">
        <v>97</v>
      </c>
      <c r="F32" s="12"/>
      <c r="G32" s="16"/>
      <c r="H32" s="16">
        <f>+SUMIFS([1]C1!$L$4:$L$100000,[1]C1!$H$4:$H$100000,ТМЦ!#REF!)</f>
        <v>0</v>
      </c>
      <c r="I32" s="16"/>
      <c r="J32" s="16"/>
      <c r="K32" s="16">
        <f>+SUMIFS([1]C4!$L$4:$L$100000,[1]C4!$H$4:$H$100000,ТМЦ!#REF!)</f>
        <v>0</v>
      </c>
      <c r="L32" s="16">
        <f>+SUMIFS([1]C5!$L$4:$L$100000,[1]C5!$H$4:$H$100000,ТМЦ!#REF!)</f>
        <v>0</v>
      </c>
      <c r="M32" s="16">
        <f>+SUMIFS([1]C6!$L$4:$L$99910,[1]C6!$H$4:$H$99910,ТМЦ!#REF!)</f>
        <v>0</v>
      </c>
      <c r="N32" s="16"/>
      <c r="O32" s="16">
        <f>+SUMIFS([1]C8!$L$4:$L$99911,[1]C8!$H$4:$H$99911,ТМЦ!#REF!)</f>
        <v>0</v>
      </c>
      <c r="P32" s="16"/>
      <c r="Q32" s="16"/>
      <c r="R32" s="16"/>
      <c r="S32" s="16"/>
      <c r="T32" s="16"/>
      <c r="U32" s="16"/>
      <c r="V32" s="16"/>
      <c r="W32" s="16">
        <f>+SUMIFS([1]C16!$L$4:$L$100000,[1]C16!$H$4:$H$100000,ТМЦ!#REF!)</f>
        <v>0</v>
      </c>
      <c r="X32" s="16">
        <v>36453.019999999997</v>
      </c>
    </row>
    <row r="33" spans="2:24" x14ac:dyDescent="0.2">
      <c r="B33" s="14" t="s">
        <v>90</v>
      </c>
      <c r="C33" s="14" t="s">
        <v>92</v>
      </c>
      <c r="D33" s="15" t="s">
        <v>71</v>
      </c>
      <c r="E33" s="12" t="s">
        <v>97</v>
      </c>
      <c r="F33" s="12"/>
      <c r="G33" s="16"/>
      <c r="H33" s="16">
        <f>+SUMIFS([1]C1!$L$4:$L$100000,[1]C1!$H$4:$H$100000,ТМЦ!#REF!)</f>
        <v>0</v>
      </c>
      <c r="I33" s="16"/>
      <c r="J33" s="16"/>
      <c r="K33" s="16">
        <f>+SUMIFS([1]C4!$L$4:$L$100000,[1]C4!$H$4:$H$100000,ТМЦ!#REF!)</f>
        <v>0</v>
      </c>
      <c r="L33" s="16">
        <f>+SUMIFS([1]C5!$L$4:$L$100000,[1]C5!$H$4:$H$100000,ТМЦ!#REF!)</f>
        <v>0</v>
      </c>
      <c r="M33" s="16">
        <f>+SUMIFS([1]C6!$L$4:$L$99910,[1]C6!$H$4:$H$99910,ТМЦ!#REF!)</f>
        <v>0</v>
      </c>
      <c r="N33" s="16"/>
      <c r="O33" s="16">
        <f>+SUMIFS([1]C8!$L$4:$L$99911,[1]C8!$H$4:$H$99911,ТМЦ!#REF!)</f>
        <v>0</v>
      </c>
      <c r="P33" s="16"/>
      <c r="Q33" s="16"/>
      <c r="R33" s="16"/>
      <c r="S33" s="16"/>
      <c r="T33" s="16"/>
      <c r="U33" s="16"/>
      <c r="V33" s="16"/>
      <c r="W33" s="16">
        <f>+SUMIFS([1]C16!$L$4:$L$100000,[1]C16!$H$4:$H$100000,ТМЦ!#REF!)</f>
        <v>0</v>
      </c>
      <c r="X33" s="16">
        <v>54360.800000000003</v>
      </c>
    </row>
    <row r="34" spans="2:24" x14ac:dyDescent="0.2">
      <c r="B34" s="14" t="s">
        <v>90</v>
      </c>
      <c r="C34" s="14" t="s">
        <v>93</v>
      </c>
      <c r="D34" s="15" t="s">
        <v>71</v>
      </c>
      <c r="E34" s="12" t="s">
        <v>97</v>
      </c>
      <c r="F34" s="12"/>
      <c r="G34" s="16"/>
      <c r="H34" s="16">
        <f>+SUMIFS([1]C1!$L$4:$L$100000,[1]C1!$H$4:$H$100000,ТМЦ!#REF!)</f>
        <v>0</v>
      </c>
      <c r="I34" s="16"/>
      <c r="J34" s="16"/>
      <c r="K34" s="16">
        <f>+SUMIFS([1]C4!$L$4:$L$100000,[1]C4!$H$4:$H$100000,ТМЦ!#REF!)</f>
        <v>0</v>
      </c>
      <c r="L34" s="16">
        <f>+SUMIFS([1]C5!$L$4:$L$100000,[1]C5!$H$4:$H$100000,ТМЦ!#REF!)</f>
        <v>0</v>
      </c>
      <c r="M34" s="16">
        <f>+SUMIFS([1]C6!$L$4:$L$99910,[1]C6!$H$4:$H$99910,ТМЦ!#REF!)</f>
        <v>0</v>
      </c>
      <c r="N34" s="16"/>
      <c r="O34" s="16">
        <f>+SUMIFS([1]C8!$L$4:$L$99911,[1]C8!$H$4:$H$99911,ТМЦ!#REF!)</f>
        <v>0</v>
      </c>
      <c r="P34" s="16"/>
      <c r="Q34" s="16"/>
      <c r="R34" s="16"/>
      <c r="S34" s="16"/>
      <c r="T34" s="16"/>
      <c r="U34" s="16"/>
      <c r="V34" s="16"/>
      <c r="W34" s="16">
        <f>+SUMIFS([1]C16!$L$4:$L$100000,[1]C16!$H$4:$H$100000,ТМЦ!#REF!)</f>
        <v>0</v>
      </c>
      <c r="X34" s="16">
        <v>21312</v>
      </c>
    </row>
    <row r="35" spans="2:24" hidden="1" x14ac:dyDescent="0.2">
      <c r="B35" s="14" t="s">
        <v>90</v>
      </c>
      <c r="C35" s="14" t="s">
        <v>94</v>
      </c>
      <c r="D35" s="15" t="s">
        <v>71</v>
      </c>
      <c r="E35" s="12"/>
      <c r="F35" s="12"/>
      <c r="G35" s="16"/>
      <c r="H35" s="16">
        <f>+SUMIFS([1]C1!$L$4:$L$100000,[1]C1!$H$4:$H$100000,ТМЦ!#REF!)</f>
        <v>0</v>
      </c>
      <c r="I35" s="16"/>
      <c r="J35" s="16"/>
      <c r="K35" s="16">
        <f>+SUMIFS([1]C4!$L$4:$L$100000,[1]C4!$H$4:$H$100000,ТМЦ!#REF!)</f>
        <v>0</v>
      </c>
      <c r="L35" s="16">
        <f>+SUMIFS([1]C5!$L$4:$L$100000,[1]C5!$H$4:$H$100000,ТМЦ!#REF!)</f>
        <v>0</v>
      </c>
      <c r="M35" s="16">
        <f>+SUMIFS([1]C6!$L$4:$L$99910,[1]C6!$H$4:$H$99910,ТМЦ!#REF!)</f>
        <v>0</v>
      </c>
      <c r="N35" s="16"/>
      <c r="O35" s="16">
        <f>+SUMIFS([1]C8!$L$4:$L$99911,[1]C8!$H$4:$H$99911,ТМЦ!#REF!)</f>
        <v>0</v>
      </c>
      <c r="P35" s="16"/>
      <c r="Q35" s="16"/>
      <c r="R35" s="16"/>
      <c r="S35" s="16"/>
      <c r="T35" s="16"/>
      <c r="U35" s="16"/>
      <c r="V35" s="16"/>
      <c r="W35" s="16">
        <f>+SUMIFS([1]C16!$L$4:$L$100000,[1]C16!$H$4:$H$100000,ТМЦ!#REF!)</f>
        <v>0</v>
      </c>
      <c r="X35" s="16">
        <v>0</v>
      </c>
    </row>
    <row r="36" spans="2:24" hidden="1" x14ac:dyDescent="0.2">
      <c r="B36" s="14" t="s">
        <v>90</v>
      </c>
      <c r="C36" s="14" t="s">
        <v>95</v>
      </c>
      <c r="D36" s="15" t="s">
        <v>71</v>
      </c>
      <c r="E36" s="12"/>
      <c r="F36" s="12"/>
      <c r="G36" s="16"/>
      <c r="H36" s="16">
        <f>+SUMIFS([1]C1!$L$4:$L$100000,[1]C1!$H$4:$H$100000,ТМЦ!#REF!)</f>
        <v>0</v>
      </c>
      <c r="I36" s="16"/>
      <c r="J36" s="16"/>
      <c r="K36" s="16">
        <f>+SUMIFS([1]C4!$L$4:$L$100000,[1]C4!$H$4:$H$100000,ТМЦ!#REF!)</f>
        <v>0</v>
      </c>
      <c r="L36" s="16">
        <f>+SUMIFS([1]C5!$L$4:$L$100000,[1]C5!$H$4:$H$100000,ТМЦ!#REF!)</f>
        <v>0</v>
      </c>
      <c r="M36" s="16">
        <f>+SUMIFS([1]C6!$L$4:$L$99910,[1]C6!$H$4:$H$99910,ТМЦ!#REF!)</f>
        <v>0</v>
      </c>
      <c r="N36" s="16"/>
      <c r="O36" s="16">
        <f>+SUMIFS([1]C8!$L$4:$L$99911,[1]C8!$H$4:$H$99911,ТМЦ!#REF!)</f>
        <v>0</v>
      </c>
      <c r="P36" s="16"/>
      <c r="Q36" s="16"/>
      <c r="R36" s="16"/>
      <c r="S36" s="16"/>
      <c r="T36" s="16"/>
      <c r="U36" s="16"/>
      <c r="V36" s="16"/>
      <c r="W36" s="16">
        <f>+SUMIFS([1]C16!$L$4:$L$100000,[1]C16!$H$4:$H$100000,ТМЦ!#REF!)</f>
        <v>0</v>
      </c>
      <c r="X36" s="16">
        <v>0</v>
      </c>
    </row>
    <row r="37" spans="2:24" hidden="1" x14ac:dyDescent="0.2">
      <c r="B37" s="14" t="s">
        <v>90</v>
      </c>
      <c r="C37" s="14" t="s">
        <v>96</v>
      </c>
      <c r="D37" s="15" t="s">
        <v>71</v>
      </c>
      <c r="E37" s="12" t="s">
        <v>97</v>
      </c>
      <c r="F37" s="12"/>
      <c r="G37" s="16"/>
      <c r="H37" s="16">
        <f>+SUMIFS([1]C1!$L$4:$L$100000,[1]C1!$H$4:$H$100000,ТМЦ!#REF!)</f>
        <v>0</v>
      </c>
      <c r="I37" s="16"/>
      <c r="J37" s="16"/>
      <c r="K37" s="16">
        <f>+SUMIFS([1]C4!$L$4:$L$100000,[1]C4!$H$4:$H$100000,ТМЦ!#REF!)</f>
        <v>0</v>
      </c>
      <c r="L37" s="16">
        <f>+SUMIFS([1]C5!$L$4:$L$100000,[1]C5!$H$4:$H$100000,ТМЦ!#REF!)</f>
        <v>0</v>
      </c>
      <c r="M37" s="16">
        <f>+SUMIFS([1]C6!$L$4:$L$99910,[1]C6!$H$4:$H$99910,ТМЦ!#REF!)</f>
        <v>0</v>
      </c>
      <c r="N37" s="16"/>
      <c r="O37" s="16">
        <f>+SUMIFS([1]C8!$L$4:$L$99911,[1]C8!$H$4:$H$99911,ТМЦ!#REF!)</f>
        <v>0</v>
      </c>
      <c r="P37" s="16"/>
      <c r="Q37" s="16"/>
      <c r="R37" s="16"/>
      <c r="S37" s="16"/>
      <c r="T37" s="16"/>
      <c r="U37" s="16"/>
      <c r="V37" s="16"/>
      <c r="W37" s="16">
        <f>+SUMIFS([1]C16!$L$4:$L$100000,[1]C16!$H$4:$H$100000,ТМЦ!#REF!)</f>
        <v>0</v>
      </c>
      <c r="X37" s="16">
        <v>0</v>
      </c>
    </row>
    <row r="38" spans="2:24" x14ac:dyDescent="0.2">
      <c r="B38" s="14" t="s">
        <v>98</v>
      </c>
      <c r="C38" s="14"/>
      <c r="D38" s="15" t="s">
        <v>52</v>
      </c>
      <c r="E38" s="12" t="s">
        <v>97</v>
      </c>
      <c r="F38" s="12"/>
      <c r="G38" s="16"/>
      <c r="H38" s="16">
        <f>+SUMIFS([1]C1!$L$4:$L$100000,[1]C1!$H$4:$H$100000,ТМЦ!#REF!)</f>
        <v>0</v>
      </c>
      <c r="I38" s="16"/>
      <c r="J38" s="16"/>
      <c r="K38" s="16">
        <f>+SUMIFS([1]C4!$L$4:$L$100000,[1]C4!$H$4:$H$100000,ТМЦ!#REF!)</f>
        <v>0</v>
      </c>
      <c r="L38" s="16">
        <f>+SUMIFS([1]C5!$L$4:$L$100000,[1]C5!$H$4:$H$100000,ТМЦ!#REF!)</f>
        <v>0</v>
      </c>
      <c r="M38" s="16">
        <f>+SUMIFS([1]C6!$L$4:$L$99910,[1]C6!$H$4:$H$99910,ТМЦ!#REF!)</f>
        <v>0</v>
      </c>
      <c r="N38" s="16"/>
      <c r="O38" s="16">
        <f>+SUMIFS([1]C8!$L$4:$L$99911,[1]C8!$H$4:$H$99911,ТМЦ!#REF!)</f>
        <v>0</v>
      </c>
      <c r="P38" s="16"/>
      <c r="Q38" s="16"/>
      <c r="R38" s="16"/>
      <c r="S38" s="16"/>
      <c r="T38" s="16"/>
      <c r="U38" s="16"/>
      <c r="V38" s="16"/>
      <c r="W38" s="16">
        <f>+SUMIFS([1]C16!$L$4:$L$100000,[1]C16!$H$4:$H$100000,ТМЦ!#REF!)</f>
        <v>0</v>
      </c>
      <c r="X38" s="16">
        <v>36047.958623999992</v>
      </c>
    </row>
    <row r="39" spans="2:24" hidden="1" x14ac:dyDescent="0.2">
      <c r="B39" s="14"/>
      <c r="C39" s="14"/>
      <c r="D39" s="14"/>
      <c r="E39" s="12" t="s">
        <v>97</v>
      </c>
      <c r="F39" s="12"/>
      <c r="G39" s="16"/>
      <c r="H39" s="16">
        <f>+SUMIFS([1]C1!$L$4:$L$100000,[1]C1!$H$4:$H$100000,ТМЦ!#REF!)</f>
        <v>0</v>
      </c>
      <c r="I39" s="16"/>
      <c r="J39" s="16"/>
      <c r="K39" s="16">
        <f>+SUMIFS([1]C4!$L$4:$L$100000,[1]C4!$H$4:$H$100000,ТМЦ!#REF!)</f>
        <v>0</v>
      </c>
      <c r="L39" s="16">
        <f>+SUMIFS([1]C5!$L$4:$L$100000,[1]C5!$H$4:$H$100000,ТМЦ!#REF!)</f>
        <v>0</v>
      </c>
      <c r="M39" s="16">
        <f>+SUMIFS([1]C6!$L$4:$L$99910,[1]C6!$H$4:$H$99910,ТМЦ!#REF!)</f>
        <v>0</v>
      </c>
      <c r="N39" s="16"/>
      <c r="O39" s="16">
        <f>+SUMIFS([1]C8!$L$4:$L$99911,[1]C8!$H$4:$H$99911,ТМЦ!#REF!)</f>
        <v>0</v>
      </c>
      <c r="P39" s="16"/>
      <c r="Q39" s="16"/>
      <c r="R39" s="16"/>
      <c r="S39" s="16"/>
      <c r="T39" s="16"/>
      <c r="U39" s="16"/>
      <c r="V39" s="16"/>
      <c r="W39" s="16">
        <f>+SUMIFS([1]C16!$L$4:$L$100000,[1]C16!$H$4:$H$100000,ТМЦ!#REF!)</f>
        <v>0</v>
      </c>
      <c r="X39" s="16">
        <v>0</v>
      </c>
    </row>
    <row r="40" spans="2:24" x14ac:dyDescent="0.2">
      <c r="B40" s="14" t="s">
        <v>99</v>
      </c>
      <c r="C40" s="14" t="s">
        <v>100</v>
      </c>
      <c r="D40" s="15" t="s">
        <v>101</v>
      </c>
      <c r="E40" s="12" t="s">
        <v>97</v>
      </c>
      <c r="F40" s="12"/>
      <c r="G40" s="16"/>
      <c r="H40" s="16">
        <f>+SUMIFS([1]C1!$L$4:$L$100000,[1]C1!$H$4:$H$100000,ТМЦ!#REF!)</f>
        <v>0</v>
      </c>
      <c r="I40" s="16"/>
      <c r="J40" s="16"/>
      <c r="K40" s="16">
        <f>+SUMIFS([1]C4!$L$4:$L$100000,[1]C4!$H$4:$H$100000,ТМЦ!#REF!)</f>
        <v>0</v>
      </c>
      <c r="L40" s="16">
        <f>+SUMIFS([1]C5!$L$4:$L$100000,[1]C5!$H$4:$H$100000,ТМЦ!#REF!)</f>
        <v>0</v>
      </c>
      <c r="M40" s="16">
        <f>+SUMIFS([1]C6!$L$4:$L$99910,[1]C6!$H$4:$H$99910,ТМЦ!#REF!)</f>
        <v>0</v>
      </c>
      <c r="N40" s="16"/>
      <c r="O40" s="16">
        <f>+SUMIFS([1]C8!$L$4:$L$99911,[1]C8!$H$4:$H$99911,ТМЦ!#REF!)</f>
        <v>0</v>
      </c>
      <c r="P40" s="16"/>
      <c r="Q40" s="16"/>
      <c r="R40" s="16"/>
      <c r="S40" s="16"/>
      <c r="T40" s="16"/>
      <c r="U40" s="16"/>
      <c r="V40" s="16"/>
      <c r="W40" s="16">
        <f>+SUMIFS([1]C16!$L$4:$L$100000,[1]C16!$H$4:$H$100000,ТМЦ!#REF!)</f>
        <v>0</v>
      </c>
      <c r="X40" s="16">
        <v>43972.71</v>
      </c>
    </row>
    <row r="41" spans="2:24" hidden="1" x14ac:dyDescent="0.2">
      <c r="B41" s="14" t="s">
        <v>102</v>
      </c>
      <c r="C41" s="14" t="s">
        <v>103</v>
      </c>
      <c r="D41" s="15" t="s">
        <v>101</v>
      </c>
      <c r="E41" s="12" t="s">
        <v>97</v>
      </c>
      <c r="F41" s="12"/>
      <c r="G41" s="16"/>
      <c r="H41" s="16">
        <f>+SUMIFS([1]C1!$L$4:$L$100000,[1]C1!$H$4:$H$100000,ТМЦ!#REF!)</f>
        <v>0</v>
      </c>
      <c r="I41" s="16"/>
      <c r="J41" s="16"/>
      <c r="K41" s="16">
        <f>+SUMIFS([1]C4!$L$4:$L$100000,[1]C4!$H$4:$H$100000,ТМЦ!#REF!)</f>
        <v>0</v>
      </c>
      <c r="L41" s="16">
        <f>+SUMIFS([1]C5!$L$4:$L$100000,[1]C5!$H$4:$H$100000,ТМЦ!#REF!)</f>
        <v>0</v>
      </c>
      <c r="M41" s="16">
        <f>+SUMIFS([1]C6!$L$4:$L$99910,[1]C6!$H$4:$H$99910,ТМЦ!#REF!)</f>
        <v>0</v>
      </c>
      <c r="N41" s="16"/>
      <c r="O41" s="16">
        <f>+SUMIFS([1]C8!$L$4:$L$99911,[1]C8!$H$4:$H$99911,ТМЦ!#REF!)</f>
        <v>0</v>
      </c>
      <c r="P41" s="16"/>
      <c r="Q41" s="16"/>
      <c r="R41" s="16"/>
      <c r="S41" s="16"/>
      <c r="T41" s="16"/>
      <c r="U41" s="16"/>
      <c r="V41" s="16"/>
      <c r="W41" s="16">
        <f>+SUMIFS([1]C16!$L$4:$L$100000,[1]C16!$H$4:$H$100000,ТМЦ!#REF!)</f>
        <v>0</v>
      </c>
      <c r="X41" s="16">
        <v>0</v>
      </c>
    </row>
    <row r="42" spans="2:24" hidden="1" x14ac:dyDescent="0.2">
      <c r="B42" s="14" t="s">
        <v>99</v>
      </c>
      <c r="C42" s="14" t="s">
        <v>104</v>
      </c>
      <c r="D42" s="15" t="s">
        <v>101</v>
      </c>
      <c r="E42" s="12" t="s">
        <v>97</v>
      </c>
      <c r="F42" s="12"/>
      <c r="G42" s="16"/>
      <c r="H42" s="16">
        <f>+SUMIFS([1]C1!$L$4:$L$100000,[1]C1!$H$4:$H$100000,ТМЦ!#REF!)</f>
        <v>0</v>
      </c>
      <c r="I42" s="16"/>
      <c r="J42" s="16"/>
      <c r="K42" s="16">
        <f>+SUMIFS([1]C4!$L$4:$L$100000,[1]C4!$H$4:$H$100000,ТМЦ!#REF!)</f>
        <v>0</v>
      </c>
      <c r="L42" s="16">
        <f>+SUMIFS([1]C5!$L$4:$L$100000,[1]C5!$H$4:$H$100000,ТМЦ!#REF!)</f>
        <v>0</v>
      </c>
      <c r="M42" s="16">
        <f>+SUMIFS([1]C6!$L$4:$L$99910,[1]C6!$H$4:$H$99910,ТМЦ!#REF!)</f>
        <v>0</v>
      </c>
      <c r="N42" s="16"/>
      <c r="O42" s="16">
        <f>+SUMIFS([1]C8!$L$4:$L$99911,[1]C8!$H$4:$H$99911,ТМЦ!#REF!)</f>
        <v>0</v>
      </c>
      <c r="P42" s="16"/>
      <c r="Q42" s="16"/>
      <c r="R42" s="16"/>
      <c r="S42" s="16"/>
      <c r="T42" s="16"/>
      <c r="U42" s="16"/>
      <c r="V42" s="16"/>
      <c r="W42" s="16">
        <f>+SUMIFS([1]C16!$L$4:$L$100000,[1]C16!$H$4:$H$100000,ТМЦ!#REF!)</f>
        <v>0</v>
      </c>
      <c r="X42" s="16">
        <v>0</v>
      </c>
    </row>
    <row r="43" spans="2:24" hidden="1" x14ac:dyDescent="0.2">
      <c r="B43" s="14" t="s">
        <v>102</v>
      </c>
      <c r="C43" s="14" t="s">
        <v>104</v>
      </c>
      <c r="D43" s="15" t="s">
        <v>101</v>
      </c>
      <c r="E43" s="12" t="s">
        <v>97</v>
      </c>
      <c r="F43" s="12"/>
      <c r="G43" s="16"/>
      <c r="H43" s="16">
        <f>+SUMIFS([1]C1!$L$4:$L$100000,[1]C1!$H$4:$H$100000,ТМЦ!#REF!)</f>
        <v>0</v>
      </c>
      <c r="I43" s="16"/>
      <c r="J43" s="16"/>
      <c r="K43" s="16">
        <f>+SUMIFS([1]C4!$L$4:$L$100000,[1]C4!$H$4:$H$100000,ТМЦ!#REF!)</f>
        <v>0</v>
      </c>
      <c r="L43" s="16">
        <f>+SUMIFS([1]C5!$L$4:$L$100000,[1]C5!$H$4:$H$100000,ТМЦ!#REF!)</f>
        <v>0</v>
      </c>
      <c r="M43" s="16">
        <f>+SUMIFS([1]C6!$L$4:$L$99910,[1]C6!$H$4:$H$99910,ТМЦ!#REF!)</f>
        <v>0</v>
      </c>
      <c r="N43" s="16"/>
      <c r="O43" s="16">
        <f>+SUMIFS([1]C8!$L$4:$L$99911,[1]C8!$H$4:$H$99911,ТМЦ!#REF!)</f>
        <v>0</v>
      </c>
      <c r="P43" s="16"/>
      <c r="Q43" s="16"/>
      <c r="R43" s="16"/>
      <c r="S43" s="16"/>
      <c r="T43" s="16"/>
      <c r="U43" s="16"/>
      <c r="V43" s="16"/>
      <c r="W43" s="16">
        <f>+SUMIFS([1]C16!$L$4:$L$100000,[1]C16!$H$4:$H$100000,ТМЦ!#REF!)</f>
        <v>0</v>
      </c>
      <c r="X43" s="16">
        <v>0</v>
      </c>
    </row>
    <row r="44" spans="2:24" hidden="1" x14ac:dyDescent="0.2">
      <c r="B44" s="14" t="s">
        <v>102</v>
      </c>
      <c r="C44" s="14" t="s">
        <v>105</v>
      </c>
      <c r="D44" s="15" t="s">
        <v>101</v>
      </c>
      <c r="E44" s="12" t="s">
        <v>97</v>
      </c>
      <c r="F44" s="12"/>
      <c r="G44" s="16"/>
      <c r="H44" s="16">
        <f>+SUMIFS([1]C1!$L$4:$L$100000,[1]C1!$H$4:$H$100000,ТМЦ!#REF!)</f>
        <v>0</v>
      </c>
      <c r="I44" s="16"/>
      <c r="J44" s="16"/>
      <c r="K44" s="16">
        <f>+SUMIFS([1]C4!$L$4:$L$100000,[1]C4!$H$4:$H$100000,ТМЦ!#REF!)</f>
        <v>0</v>
      </c>
      <c r="L44" s="16">
        <f>+SUMIFS([1]C5!$L$4:$L$100000,[1]C5!$H$4:$H$100000,ТМЦ!#REF!)</f>
        <v>0</v>
      </c>
      <c r="M44" s="16">
        <f>+SUMIFS([1]C6!$L$4:$L$99910,[1]C6!$H$4:$H$99910,ТМЦ!#REF!)</f>
        <v>0</v>
      </c>
      <c r="N44" s="16"/>
      <c r="O44" s="16">
        <f>+SUMIFS([1]C8!$L$4:$L$99911,[1]C8!$H$4:$H$99911,ТМЦ!#REF!)</f>
        <v>0</v>
      </c>
      <c r="P44" s="16"/>
      <c r="Q44" s="16"/>
      <c r="R44" s="16"/>
      <c r="S44" s="16"/>
      <c r="T44" s="16"/>
      <c r="U44" s="16"/>
      <c r="V44" s="16"/>
      <c r="W44" s="16">
        <f>+SUMIFS([1]C16!$L$4:$L$100000,[1]C16!$H$4:$H$100000,ТМЦ!#REF!)</f>
        <v>0</v>
      </c>
      <c r="X44" s="16">
        <v>0</v>
      </c>
    </row>
    <row r="45" spans="2:24" hidden="1" x14ac:dyDescent="0.2">
      <c r="B45" s="14"/>
      <c r="C45" s="14"/>
      <c r="D45" s="14"/>
      <c r="E45" s="12" t="s">
        <v>97</v>
      </c>
      <c r="F45" s="12"/>
      <c r="G45" s="16"/>
      <c r="H45" s="16">
        <f>+SUMIFS([1]C1!$L$4:$L$100000,[1]C1!$H$4:$H$100000,ТМЦ!#REF!)</f>
        <v>0</v>
      </c>
      <c r="I45" s="16"/>
      <c r="J45" s="16"/>
      <c r="K45" s="16">
        <f>+SUMIFS([1]C4!$L$4:$L$100000,[1]C4!$H$4:$H$100000,ТМЦ!#REF!)</f>
        <v>0</v>
      </c>
      <c r="L45" s="16">
        <f>+SUMIFS([1]C5!$L$4:$L$100000,[1]C5!$H$4:$H$100000,ТМЦ!#REF!)</f>
        <v>0</v>
      </c>
      <c r="M45" s="16">
        <f>+SUMIFS([1]C6!$L$4:$L$99910,[1]C6!$H$4:$H$99910,ТМЦ!#REF!)</f>
        <v>0</v>
      </c>
      <c r="N45" s="16"/>
      <c r="O45" s="16">
        <f>+SUMIFS([1]C8!$L$4:$L$99911,[1]C8!$H$4:$H$99911,ТМЦ!#REF!)</f>
        <v>0</v>
      </c>
      <c r="P45" s="16"/>
      <c r="Q45" s="16"/>
      <c r="R45" s="16"/>
      <c r="S45" s="16"/>
      <c r="T45" s="16"/>
      <c r="U45" s="16"/>
      <c r="V45" s="16"/>
      <c r="W45" s="16">
        <f>+SUMIFS([1]C16!$L$4:$L$100000,[1]C16!$H$4:$H$100000,ТМЦ!#REF!)</f>
        <v>0</v>
      </c>
      <c r="X45" s="16">
        <v>0</v>
      </c>
    </row>
    <row r="46" spans="2:24" x14ac:dyDescent="0.2">
      <c r="B46" s="14" t="s">
        <v>106</v>
      </c>
      <c r="C46" s="14" t="s">
        <v>107</v>
      </c>
      <c r="D46" s="15" t="s">
        <v>52</v>
      </c>
      <c r="E46" s="12" t="s">
        <v>97</v>
      </c>
      <c r="F46" s="12"/>
      <c r="G46" s="16"/>
      <c r="H46" s="16">
        <f>+SUMIFS([1]C1!$L$4:$L$100000,[1]C1!$H$4:$H$100000,ТМЦ!#REF!)</f>
        <v>0</v>
      </c>
      <c r="I46" s="16"/>
      <c r="J46" s="16"/>
      <c r="K46" s="16">
        <f>+SUMIFS([1]C4!$L$4:$L$100000,[1]C4!$H$4:$H$100000,ТМЦ!#REF!)</f>
        <v>0</v>
      </c>
      <c r="L46" s="16">
        <f>+SUMIFS([1]C5!$L$4:$L$100000,[1]C5!$H$4:$H$100000,ТМЦ!#REF!)</f>
        <v>0</v>
      </c>
      <c r="M46" s="16">
        <f>+SUMIFS([1]C6!$L$4:$L$99910,[1]C6!$H$4:$H$99910,ТМЦ!#REF!)</f>
        <v>0</v>
      </c>
      <c r="N46" s="16"/>
      <c r="O46" s="16">
        <f>+SUMIFS([1]C8!$L$4:$L$99911,[1]C8!$H$4:$H$99911,ТМЦ!#REF!)</f>
        <v>0</v>
      </c>
      <c r="P46" s="16"/>
      <c r="Q46" s="16"/>
      <c r="R46" s="16"/>
      <c r="S46" s="16"/>
      <c r="T46" s="16"/>
      <c r="U46" s="16"/>
      <c r="V46" s="16"/>
      <c r="W46" s="16">
        <f>+SUMIFS([1]C16!$L$4:$L$100000,[1]C16!$H$4:$H$100000,ТМЦ!#REF!)</f>
        <v>0</v>
      </c>
      <c r="X46" s="16">
        <v>34.44</v>
      </c>
    </row>
    <row r="47" spans="2:24" hidden="1" x14ac:dyDescent="0.2">
      <c r="B47" s="14"/>
      <c r="C47" s="14"/>
      <c r="D47" s="14"/>
      <c r="E47" s="12" t="s">
        <v>97</v>
      </c>
      <c r="F47" s="12"/>
      <c r="G47" s="16"/>
      <c r="H47" s="16">
        <f>+SUMIFS([1]C1!$L$4:$L$100000,[1]C1!$H$4:$H$100000,ТМЦ!#REF!)</f>
        <v>0</v>
      </c>
      <c r="I47" s="16"/>
      <c r="J47" s="16"/>
      <c r="K47" s="16">
        <f>+SUMIFS([1]C4!$L$4:$L$100000,[1]C4!$H$4:$H$100000,ТМЦ!#REF!)</f>
        <v>0</v>
      </c>
      <c r="L47" s="16">
        <f>+SUMIFS([1]C5!$L$4:$L$100000,[1]C5!$H$4:$H$100000,ТМЦ!#REF!)</f>
        <v>0</v>
      </c>
      <c r="M47" s="16">
        <f>+SUMIFS([1]C6!$L$4:$L$99910,[1]C6!$H$4:$H$99910,ТМЦ!#REF!)</f>
        <v>0</v>
      </c>
      <c r="N47" s="16"/>
      <c r="O47" s="16">
        <f>+SUMIFS([1]C8!$L$4:$L$99911,[1]C8!$H$4:$H$99911,ТМЦ!#REF!)</f>
        <v>0</v>
      </c>
      <c r="P47" s="16"/>
      <c r="Q47" s="16"/>
      <c r="R47" s="16"/>
      <c r="S47" s="16"/>
      <c r="T47" s="16"/>
      <c r="U47" s="16"/>
      <c r="V47" s="16"/>
      <c r="W47" s="16">
        <f>+SUMIFS([1]C16!$L$4:$L$100000,[1]C16!$H$4:$H$100000,ТМЦ!#REF!)</f>
        <v>0</v>
      </c>
      <c r="X47" s="16">
        <v>0</v>
      </c>
    </row>
    <row r="48" spans="2:24" x14ac:dyDescent="0.2">
      <c r="B48" s="14" t="s">
        <v>108</v>
      </c>
      <c r="C48" s="14" t="s">
        <v>109</v>
      </c>
      <c r="D48" s="15" t="s">
        <v>86</v>
      </c>
      <c r="E48" s="12" t="s">
        <v>97</v>
      </c>
      <c r="F48" s="12"/>
      <c r="G48" s="16"/>
      <c r="H48" s="16">
        <f>+SUMIFS([1]C1!$L$4:$L$100000,[1]C1!$H$4:$H$100000,ТМЦ!#REF!)</f>
        <v>0</v>
      </c>
      <c r="I48" s="16"/>
      <c r="J48" s="16"/>
      <c r="K48" s="16">
        <f>+SUMIFS([1]C4!$L$4:$L$100000,[1]C4!$H$4:$H$100000,ТМЦ!#REF!)</f>
        <v>0</v>
      </c>
      <c r="L48" s="16">
        <f>+SUMIFS([1]C5!$L$4:$L$100000,[1]C5!$H$4:$H$100000,ТМЦ!#REF!)</f>
        <v>0</v>
      </c>
      <c r="M48" s="16">
        <f>+SUMIFS([1]C6!$L$4:$L$99910,[1]C6!$H$4:$H$99910,ТМЦ!#REF!)</f>
        <v>0</v>
      </c>
      <c r="N48" s="16"/>
      <c r="O48" s="16">
        <f>+SUMIFS([1]C8!$L$4:$L$99911,[1]C8!$H$4:$H$99911,ТМЦ!#REF!)</f>
        <v>0</v>
      </c>
      <c r="P48" s="16"/>
      <c r="Q48" s="16"/>
      <c r="R48" s="16"/>
      <c r="S48" s="16"/>
      <c r="T48" s="16"/>
      <c r="U48" s="16"/>
      <c r="V48" s="16"/>
      <c r="W48" s="16">
        <f>+SUMIFS([1]C16!$L$4:$L$100000,[1]C16!$H$4:$H$100000,ТМЦ!#REF!)</f>
        <v>0</v>
      </c>
      <c r="X48" s="16">
        <v>175888.84</v>
      </c>
    </row>
    <row r="49" spans="2:24" x14ac:dyDescent="0.2">
      <c r="B49" s="14" t="s">
        <v>110</v>
      </c>
      <c r="C49" s="21" t="s">
        <v>111</v>
      </c>
      <c r="D49" s="15" t="s">
        <v>112</v>
      </c>
      <c r="E49" s="12" t="s">
        <v>97</v>
      </c>
      <c r="F49" s="12"/>
      <c r="G49" s="16"/>
      <c r="H49" s="16">
        <f>+SUMIFS([1]C1!$L$4:$L$100000,[1]C1!$H$4:$H$100000,ТМЦ!#REF!)</f>
        <v>0</v>
      </c>
      <c r="I49" s="16"/>
      <c r="J49" s="16"/>
      <c r="K49" s="16">
        <f>+SUMIFS([1]C4!$L$4:$L$100000,[1]C4!$H$4:$H$100000,ТМЦ!#REF!)</f>
        <v>0</v>
      </c>
      <c r="L49" s="16">
        <f>+SUMIFS([1]C5!$L$4:$L$100000,[1]C5!$H$4:$H$100000,ТМЦ!#REF!)</f>
        <v>0</v>
      </c>
      <c r="M49" s="16">
        <f>+SUMIFS([1]C6!$L$4:$L$99910,[1]C6!$H$4:$H$99910,ТМЦ!#REF!)</f>
        <v>0</v>
      </c>
      <c r="N49" s="16"/>
      <c r="O49" s="16">
        <f>+SUMIFS([1]C8!$L$4:$L$99911,[1]C8!$H$4:$H$99911,ТМЦ!#REF!)</f>
        <v>0</v>
      </c>
      <c r="P49" s="16"/>
      <c r="Q49" s="16"/>
      <c r="R49" s="16"/>
      <c r="S49" s="16"/>
      <c r="T49" s="16"/>
      <c r="U49" s="16"/>
      <c r="V49" s="16"/>
      <c r="W49" s="16">
        <f>+SUMIFS([1]C16!$L$4:$L$100000,[1]C16!$H$4:$H$100000,ТМЦ!#REF!)</f>
        <v>0</v>
      </c>
      <c r="X49" s="16">
        <v>27192.168000000001</v>
      </c>
    </row>
    <row r="50" spans="2:24" hidden="1" x14ac:dyDescent="0.2">
      <c r="B50" s="14" t="s">
        <v>113</v>
      </c>
      <c r="C50" s="14" t="s">
        <v>114</v>
      </c>
      <c r="D50" s="15" t="s">
        <v>77</v>
      </c>
      <c r="E50" s="12" t="s">
        <v>97</v>
      </c>
      <c r="F50" s="12"/>
      <c r="G50" s="16"/>
      <c r="H50" s="16">
        <f>+SUMIFS([1]C1!$L$4:$L$100000,[1]C1!$H$4:$H$100000,ТМЦ!#REF!)</f>
        <v>0</v>
      </c>
      <c r="I50" s="16"/>
      <c r="J50" s="16"/>
      <c r="K50" s="16">
        <f>+SUMIFS([1]C4!$L$4:$L$100000,[1]C4!$H$4:$H$100000,ТМЦ!#REF!)</f>
        <v>0</v>
      </c>
      <c r="L50" s="16">
        <f>+SUMIFS([1]C5!$L$4:$L$100000,[1]C5!$H$4:$H$100000,ТМЦ!#REF!)</f>
        <v>0</v>
      </c>
      <c r="M50" s="16">
        <f>+SUMIFS([1]C6!$L$4:$L$99910,[1]C6!$H$4:$H$99910,ТМЦ!#REF!)</f>
        <v>0</v>
      </c>
      <c r="N50" s="16"/>
      <c r="O50" s="16">
        <f>+SUMIFS([1]C8!$L$4:$L$99911,[1]C8!$H$4:$H$99911,ТМЦ!#REF!)</f>
        <v>0</v>
      </c>
      <c r="P50" s="16"/>
      <c r="Q50" s="16"/>
      <c r="R50" s="16"/>
      <c r="S50" s="16"/>
      <c r="T50" s="16"/>
      <c r="U50" s="16"/>
      <c r="V50" s="16"/>
      <c r="W50" s="16">
        <f>+SUMIFS([1]C16!$L$4:$L$100000,[1]C16!$H$4:$H$100000,ТМЦ!#REF!)</f>
        <v>0</v>
      </c>
      <c r="X50" s="16">
        <v>0</v>
      </c>
    </row>
    <row r="51" spans="2:24" hidden="1" x14ac:dyDescent="0.2">
      <c r="B51" s="14"/>
      <c r="C51" s="14"/>
      <c r="D51" s="14"/>
      <c r="E51" s="12" t="s">
        <v>97</v>
      </c>
      <c r="F51" s="12"/>
      <c r="G51" s="16"/>
      <c r="H51" s="16">
        <f>+SUMIFS([1]C1!$L$4:$L$100000,[1]C1!$H$4:$H$100000,ТМЦ!#REF!)</f>
        <v>0</v>
      </c>
      <c r="I51" s="16"/>
      <c r="J51" s="16"/>
      <c r="K51" s="16">
        <f>+SUMIFS([1]C4!$L$4:$L$100000,[1]C4!$H$4:$H$100000,ТМЦ!#REF!)</f>
        <v>0</v>
      </c>
      <c r="L51" s="16">
        <f>+SUMIFS([1]C5!$L$4:$L$100000,[1]C5!$H$4:$H$100000,ТМЦ!#REF!)</f>
        <v>0</v>
      </c>
      <c r="M51" s="16">
        <f>+SUMIFS([1]C6!$L$4:$L$99910,[1]C6!$H$4:$H$99910,ТМЦ!#REF!)</f>
        <v>0</v>
      </c>
      <c r="N51" s="16"/>
      <c r="O51" s="16">
        <f>+SUMIFS([1]C8!$L$4:$L$99911,[1]C8!$H$4:$H$99911,ТМЦ!#REF!)</f>
        <v>0</v>
      </c>
      <c r="P51" s="16"/>
      <c r="Q51" s="16"/>
      <c r="R51" s="16"/>
      <c r="S51" s="16"/>
      <c r="T51" s="16"/>
      <c r="U51" s="16"/>
      <c r="V51" s="16"/>
      <c r="W51" s="16">
        <f>+SUMIFS([1]C16!$L$4:$L$100000,[1]C16!$H$4:$H$100000,ТМЦ!#REF!)</f>
        <v>0</v>
      </c>
      <c r="X51" s="16">
        <v>0</v>
      </c>
    </row>
    <row r="52" spans="2:24" hidden="1" x14ac:dyDescent="0.2">
      <c r="B52" s="14" t="s">
        <v>115</v>
      </c>
      <c r="C52" s="14" t="s">
        <v>116</v>
      </c>
      <c r="D52" s="15" t="s">
        <v>77</v>
      </c>
      <c r="E52" s="12" t="s">
        <v>97</v>
      </c>
      <c r="F52" s="12"/>
      <c r="G52" s="16"/>
      <c r="H52" s="16">
        <f>+SUMIFS([1]C1!$L$4:$L$100000,[1]C1!$H$4:$H$100000,ТМЦ!#REF!)</f>
        <v>0</v>
      </c>
      <c r="I52" s="16"/>
      <c r="J52" s="16"/>
      <c r="K52" s="16">
        <f>+SUMIFS([1]C4!$L$4:$L$100000,[1]C4!$H$4:$H$100000,ТМЦ!#REF!)</f>
        <v>0</v>
      </c>
      <c r="L52" s="16">
        <f>+SUMIFS([1]C5!$L$4:$L$100000,[1]C5!$H$4:$H$100000,ТМЦ!#REF!)</f>
        <v>0</v>
      </c>
      <c r="M52" s="16">
        <f>+SUMIFS([1]C6!$L$4:$L$99910,[1]C6!$H$4:$H$99910,ТМЦ!#REF!)</f>
        <v>0</v>
      </c>
      <c r="N52" s="16"/>
      <c r="O52" s="16">
        <f>+SUMIFS([1]C8!$L$4:$L$99911,[1]C8!$H$4:$H$99911,ТМЦ!#REF!)</f>
        <v>0</v>
      </c>
      <c r="P52" s="16"/>
      <c r="Q52" s="16"/>
      <c r="R52" s="16"/>
      <c r="S52" s="16"/>
      <c r="T52" s="16"/>
      <c r="U52" s="16"/>
      <c r="V52" s="16"/>
      <c r="W52" s="16">
        <f>+SUMIFS([1]C16!$L$4:$L$100000,[1]C16!$H$4:$H$100000,ТМЦ!#REF!)</f>
        <v>0</v>
      </c>
      <c r="X52" s="16">
        <v>0</v>
      </c>
    </row>
    <row r="53" spans="2:24" hidden="1" x14ac:dyDescent="0.2">
      <c r="B53" s="14" t="s">
        <v>115</v>
      </c>
      <c r="C53" s="14" t="s">
        <v>117</v>
      </c>
      <c r="D53" s="15" t="s">
        <v>77</v>
      </c>
      <c r="E53" s="12" t="s">
        <v>97</v>
      </c>
      <c r="F53" s="12"/>
      <c r="G53" s="16"/>
      <c r="H53" s="16">
        <f>+SUMIFS([1]C1!$L$4:$L$100000,[1]C1!$H$4:$H$100000,ТМЦ!#REF!)</f>
        <v>0</v>
      </c>
      <c r="I53" s="16"/>
      <c r="J53" s="16"/>
      <c r="K53" s="16">
        <f>+SUMIFS([1]C4!$L$4:$L$100000,[1]C4!$H$4:$H$100000,ТМЦ!#REF!)</f>
        <v>0</v>
      </c>
      <c r="L53" s="16">
        <f>+SUMIFS([1]C5!$L$4:$L$100000,[1]C5!$H$4:$H$100000,ТМЦ!#REF!)</f>
        <v>0</v>
      </c>
      <c r="M53" s="16">
        <f>+SUMIFS([1]C6!$L$4:$L$99910,[1]C6!$H$4:$H$99910,ТМЦ!#REF!)</f>
        <v>0</v>
      </c>
      <c r="N53" s="16"/>
      <c r="O53" s="16">
        <f>+SUMIFS([1]C8!$L$4:$L$99911,[1]C8!$H$4:$H$99911,ТМЦ!#REF!)</f>
        <v>0</v>
      </c>
      <c r="P53" s="16"/>
      <c r="Q53" s="16"/>
      <c r="R53" s="16"/>
      <c r="S53" s="16"/>
      <c r="T53" s="16"/>
      <c r="U53" s="16"/>
      <c r="V53" s="16"/>
      <c r="W53" s="16">
        <f>+SUMIFS([1]C16!$L$4:$L$100000,[1]C16!$H$4:$H$100000,ТМЦ!#REF!)</f>
        <v>0</v>
      </c>
      <c r="X53" s="16">
        <v>0</v>
      </c>
    </row>
    <row r="54" spans="2:24" hidden="1" x14ac:dyDescent="0.2">
      <c r="B54" s="14" t="s">
        <v>118</v>
      </c>
      <c r="C54" s="14" t="s">
        <v>119</v>
      </c>
      <c r="D54" s="15" t="s">
        <v>77</v>
      </c>
      <c r="E54" s="12" t="s">
        <v>97</v>
      </c>
      <c r="F54" s="12"/>
      <c r="G54" s="16"/>
      <c r="H54" s="16">
        <f>+SUMIFS([1]C1!$L$4:$L$100000,[1]C1!$H$4:$H$100000,ТМЦ!#REF!)</f>
        <v>0</v>
      </c>
      <c r="I54" s="16"/>
      <c r="J54" s="16"/>
      <c r="K54" s="16">
        <f>+SUMIFS([1]C4!$L$4:$L$100000,[1]C4!$H$4:$H$100000,ТМЦ!#REF!)</f>
        <v>0</v>
      </c>
      <c r="L54" s="16">
        <f>+SUMIFS([1]C5!$L$4:$L$100000,[1]C5!$H$4:$H$100000,ТМЦ!#REF!)</f>
        <v>0</v>
      </c>
      <c r="M54" s="16">
        <f>+SUMIFS([1]C6!$L$4:$L$99910,[1]C6!$H$4:$H$99910,ТМЦ!#REF!)</f>
        <v>0</v>
      </c>
      <c r="N54" s="16"/>
      <c r="O54" s="16">
        <f>+SUMIFS([1]C8!$L$4:$L$99911,[1]C8!$H$4:$H$99911,ТМЦ!#REF!)</f>
        <v>0</v>
      </c>
      <c r="P54" s="16"/>
      <c r="Q54" s="16"/>
      <c r="R54" s="16"/>
      <c r="S54" s="16"/>
      <c r="T54" s="16"/>
      <c r="U54" s="16"/>
      <c r="V54" s="16"/>
      <c r="W54" s="16">
        <f>+SUMIFS([1]C16!$L$4:$L$100000,[1]C16!$H$4:$H$100000,ТМЦ!#REF!)</f>
        <v>0</v>
      </c>
      <c r="X54" s="16">
        <v>0</v>
      </c>
    </row>
    <row r="55" spans="2:24" hidden="1" x14ac:dyDescent="0.2">
      <c r="B55" s="14" t="s">
        <v>120</v>
      </c>
      <c r="C55" s="14" t="s">
        <v>121</v>
      </c>
      <c r="D55" s="15" t="s">
        <v>122</v>
      </c>
      <c r="E55" s="12" t="s">
        <v>97</v>
      </c>
      <c r="F55" s="12"/>
      <c r="G55" s="16"/>
      <c r="H55" s="16">
        <f>+SUMIFS([1]C1!$L$4:$L$100000,[1]C1!$H$4:$H$100000,ТМЦ!#REF!)</f>
        <v>0</v>
      </c>
      <c r="I55" s="16"/>
      <c r="J55" s="16"/>
      <c r="K55" s="16">
        <f>+SUMIFS([1]C4!$L$4:$L$100000,[1]C4!$H$4:$H$100000,ТМЦ!#REF!)</f>
        <v>0</v>
      </c>
      <c r="L55" s="16">
        <f>+SUMIFS([1]C5!$L$4:$L$100000,[1]C5!$H$4:$H$100000,ТМЦ!#REF!)</f>
        <v>0</v>
      </c>
      <c r="M55" s="16">
        <f>+SUMIFS([1]C6!$L$4:$L$99910,[1]C6!$H$4:$H$99910,ТМЦ!#REF!)</f>
        <v>0</v>
      </c>
      <c r="N55" s="16"/>
      <c r="O55" s="16">
        <f>+SUMIFS([1]C8!$L$4:$L$99911,[1]C8!$H$4:$H$99911,ТМЦ!#REF!)</f>
        <v>0</v>
      </c>
      <c r="P55" s="16"/>
      <c r="Q55" s="16"/>
      <c r="R55" s="16"/>
      <c r="S55" s="16"/>
      <c r="T55" s="16"/>
      <c r="U55" s="16"/>
      <c r="V55" s="16"/>
      <c r="W55" s="16">
        <f>+SUMIFS([1]C16!$L$4:$L$100000,[1]C16!$H$4:$H$100000,ТМЦ!#REF!)</f>
        <v>0</v>
      </c>
      <c r="X55" s="16">
        <v>0</v>
      </c>
    </row>
    <row r="56" spans="2:24" hidden="1" x14ac:dyDescent="0.2">
      <c r="B56" s="14"/>
      <c r="C56" s="14"/>
      <c r="D56" s="14"/>
      <c r="E56" s="12" t="s">
        <v>97</v>
      </c>
      <c r="F56" s="12"/>
      <c r="G56" s="16"/>
      <c r="H56" s="16">
        <f>+SUMIFS([1]C1!$L$4:$L$100000,[1]C1!$H$4:$H$100000,ТМЦ!#REF!)</f>
        <v>0</v>
      </c>
      <c r="I56" s="16"/>
      <c r="J56" s="16"/>
      <c r="K56" s="16">
        <f>+SUMIFS([1]C4!$L$4:$L$100000,[1]C4!$H$4:$H$100000,ТМЦ!#REF!)</f>
        <v>0</v>
      </c>
      <c r="L56" s="16">
        <f>+SUMIFS([1]C5!$L$4:$L$100000,[1]C5!$H$4:$H$100000,ТМЦ!#REF!)</f>
        <v>0</v>
      </c>
      <c r="M56" s="16">
        <f>+SUMIFS([1]C6!$L$4:$L$99910,[1]C6!$H$4:$H$99910,ТМЦ!#REF!)</f>
        <v>0</v>
      </c>
      <c r="N56" s="16"/>
      <c r="O56" s="16">
        <f>+SUMIFS([1]C8!$L$4:$L$99911,[1]C8!$H$4:$H$99911,ТМЦ!#REF!)</f>
        <v>0</v>
      </c>
      <c r="P56" s="16"/>
      <c r="Q56" s="16"/>
      <c r="R56" s="16"/>
      <c r="S56" s="16"/>
      <c r="T56" s="16"/>
      <c r="U56" s="16"/>
      <c r="V56" s="16"/>
      <c r="W56" s="16">
        <f>+SUMIFS([1]C16!$L$4:$L$100000,[1]C16!$H$4:$H$100000,ТМЦ!#REF!)</f>
        <v>0</v>
      </c>
      <c r="X56" s="16">
        <v>0</v>
      </c>
    </row>
    <row r="57" spans="2:24" x14ac:dyDescent="0.2">
      <c r="B57" s="14" t="s">
        <v>123</v>
      </c>
      <c r="C57" s="14" t="s">
        <v>124</v>
      </c>
      <c r="D57" s="15" t="s">
        <v>125</v>
      </c>
      <c r="E57" s="12" t="s">
        <v>97</v>
      </c>
      <c r="F57" s="12"/>
      <c r="G57" s="16"/>
      <c r="H57" s="16">
        <f>+SUMIFS([1]C1!$L$4:$L$100000,[1]C1!$H$4:$H$100000,ТМЦ!#REF!)</f>
        <v>0</v>
      </c>
      <c r="I57" s="16"/>
      <c r="J57" s="16"/>
      <c r="K57" s="16">
        <f>+SUMIFS([1]C4!$L$4:$L$100000,[1]C4!$H$4:$H$100000,ТМЦ!#REF!)</f>
        <v>0</v>
      </c>
      <c r="L57" s="16">
        <f>+SUMIFS([1]C5!$L$4:$L$100000,[1]C5!$H$4:$H$100000,ТМЦ!#REF!)</f>
        <v>0</v>
      </c>
      <c r="M57" s="16">
        <f>+SUMIFS([1]C6!$L$4:$L$99910,[1]C6!$H$4:$H$99910,ТМЦ!#REF!)</f>
        <v>0</v>
      </c>
      <c r="N57" s="16"/>
      <c r="O57" s="16">
        <f>+SUMIFS([1]C8!$L$4:$L$99911,[1]C8!$H$4:$H$99911,ТМЦ!#REF!)</f>
        <v>0</v>
      </c>
      <c r="P57" s="16"/>
      <c r="Q57" s="16"/>
      <c r="R57" s="16"/>
      <c r="S57" s="16"/>
      <c r="T57" s="16"/>
      <c r="U57" s="16"/>
      <c r="V57" s="16"/>
      <c r="W57" s="16">
        <f>+SUMIFS([1]C16!$L$4:$L$100000,[1]C16!$H$4:$H$100000,ТМЦ!#REF!)</f>
        <v>0</v>
      </c>
      <c r="X57" s="16">
        <v>6000.7410000000009</v>
      </c>
    </row>
    <row r="58" spans="2:24" hidden="1" x14ac:dyDescent="0.2">
      <c r="B58" s="14" t="s">
        <v>123</v>
      </c>
      <c r="C58" s="14" t="s">
        <v>126</v>
      </c>
      <c r="D58" s="15" t="s">
        <v>125</v>
      </c>
      <c r="E58" s="12" t="s">
        <v>97</v>
      </c>
      <c r="F58" s="12"/>
      <c r="G58" s="16"/>
      <c r="H58" s="16">
        <f>+SUMIFS([1]C1!$L$4:$L$100000,[1]C1!$H$4:$H$100000,ТМЦ!#REF!)</f>
        <v>0</v>
      </c>
      <c r="I58" s="16"/>
      <c r="J58" s="16"/>
      <c r="K58" s="16">
        <f>+SUMIFS([1]C4!$L$4:$L$100000,[1]C4!$H$4:$H$100000,ТМЦ!#REF!)</f>
        <v>0</v>
      </c>
      <c r="L58" s="16">
        <f>+SUMIFS([1]C5!$L$4:$L$100000,[1]C5!$H$4:$H$100000,ТМЦ!#REF!)</f>
        <v>0</v>
      </c>
      <c r="M58" s="16">
        <f>+SUMIFS([1]C6!$L$4:$L$99910,[1]C6!$H$4:$H$99910,ТМЦ!#REF!)</f>
        <v>0</v>
      </c>
      <c r="N58" s="16"/>
      <c r="O58" s="16">
        <f>+SUMIFS([1]C8!$L$4:$L$99911,[1]C8!$H$4:$H$99911,ТМЦ!#REF!)</f>
        <v>0</v>
      </c>
      <c r="P58" s="16"/>
      <c r="Q58" s="16"/>
      <c r="R58" s="16"/>
      <c r="S58" s="16"/>
      <c r="T58" s="16"/>
      <c r="U58" s="16"/>
      <c r="V58" s="16"/>
      <c r="W58" s="16">
        <f>+SUMIFS([1]C16!$L$4:$L$100000,[1]C16!$H$4:$H$100000,ТМЦ!#REF!)</f>
        <v>0</v>
      </c>
      <c r="X58" s="16">
        <v>0</v>
      </c>
    </row>
    <row r="59" spans="2:24" hidden="1" x14ac:dyDescent="0.2">
      <c r="B59" s="14" t="s">
        <v>123</v>
      </c>
      <c r="C59" s="14" t="s">
        <v>127</v>
      </c>
      <c r="D59" s="15" t="s">
        <v>125</v>
      </c>
      <c r="E59" s="12" t="s">
        <v>97</v>
      </c>
      <c r="F59" s="12"/>
      <c r="G59" s="16"/>
      <c r="H59" s="16">
        <f>+SUMIFS([1]C1!$L$4:$L$100000,[1]C1!$H$4:$H$100000,ТМЦ!#REF!)</f>
        <v>0</v>
      </c>
      <c r="I59" s="16"/>
      <c r="J59" s="16"/>
      <c r="K59" s="16">
        <f>+SUMIFS([1]C4!$L$4:$L$100000,[1]C4!$H$4:$H$100000,ТМЦ!#REF!)</f>
        <v>0</v>
      </c>
      <c r="L59" s="16">
        <f>+SUMIFS([1]C5!$L$4:$L$100000,[1]C5!$H$4:$H$100000,ТМЦ!#REF!)</f>
        <v>0</v>
      </c>
      <c r="M59" s="16">
        <f>+SUMIFS([1]C6!$L$4:$L$99910,[1]C6!$H$4:$H$99910,ТМЦ!#REF!)</f>
        <v>0</v>
      </c>
      <c r="N59" s="16"/>
      <c r="O59" s="16">
        <f>+SUMIFS([1]C8!$L$4:$L$99911,[1]C8!$H$4:$H$99911,ТМЦ!#REF!)</f>
        <v>0</v>
      </c>
      <c r="P59" s="16"/>
      <c r="Q59" s="16"/>
      <c r="R59" s="16"/>
      <c r="S59" s="16"/>
      <c r="T59" s="16"/>
      <c r="U59" s="16"/>
      <c r="V59" s="16"/>
      <c r="W59" s="16">
        <f>+SUMIFS([1]C16!$L$4:$L$100000,[1]C16!$H$4:$H$100000,ТМЦ!#REF!)</f>
        <v>0</v>
      </c>
      <c r="X59" s="16">
        <v>0</v>
      </c>
    </row>
    <row r="60" spans="2:24" x14ac:dyDescent="0.2">
      <c r="B60" s="14" t="s">
        <v>123</v>
      </c>
      <c r="C60" s="14" t="s">
        <v>128</v>
      </c>
      <c r="D60" s="15" t="s">
        <v>125</v>
      </c>
      <c r="E60" s="12" t="s">
        <v>97</v>
      </c>
      <c r="F60" s="12"/>
      <c r="G60" s="16"/>
      <c r="H60" s="16">
        <f>+SUMIFS([1]C1!$L$4:$L$100000,[1]C1!$H$4:$H$100000,ТМЦ!#REF!)</f>
        <v>0</v>
      </c>
      <c r="I60" s="16"/>
      <c r="J60" s="16"/>
      <c r="K60" s="16">
        <f>+SUMIFS([1]C4!$L$4:$L$100000,[1]C4!$H$4:$H$100000,ТМЦ!#REF!)</f>
        <v>0</v>
      </c>
      <c r="L60" s="16">
        <f>+SUMIFS([1]C5!$L$4:$L$100000,[1]C5!$H$4:$H$100000,ТМЦ!#REF!)</f>
        <v>0</v>
      </c>
      <c r="M60" s="16">
        <f>+SUMIFS([1]C6!$L$4:$L$99910,[1]C6!$H$4:$H$99910,ТМЦ!#REF!)</f>
        <v>0</v>
      </c>
      <c r="N60" s="16"/>
      <c r="O60" s="16">
        <f>+SUMIFS([1]C8!$L$4:$L$99911,[1]C8!$H$4:$H$99911,ТМЦ!#REF!)</f>
        <v>0</v>
      </c>
      <c r="P60" s="16"/>
      <c r="Q60" s="16"/>
      <c r="R60" s="16"/>
      <c r="S60" s="16"/>
      <c r="T60" s="16"/>
      <c r="U60" s="16"/>
      <c r="V60" s="16"/>
      <c r="W60" s="16">
        <f>+SUMIFS([1]C16!$L$4:$L$100000,[1]C16!$H$4:$H$100000,ТМЦ!#REF!)</f>
        <v>0</v>
      </c>
      <c r="X60" s="16">
        <v>19879.721999999998</v>
      </c>
    </row>
    <row r="61" spans="2:24" hidden="1" x14ac:dyDescent="0.2">
      <c r="B61" s="14" t="s">
        <v>123</v>
      </c>
      <c r="C61" s="14" t="s">
        <v>129</v>
      </c>
      <c r="D61" s="15" t="s">
        <v>125</v>
      </c>
      <c r="E61" s="12" t="s">
        <v>97</v>
      </c>
      <c r="F61" s="12"/>
      <c r="G61" s="16"/>
      <c r="H61" s="16">
        <f>+SUMIFS([1]C1!$L$4:$L$100000,[1]C1!$H$4:$H$100000,ТМЦ!#REF!)</f>
        <v>0</v>
      </c>
      <c r="I61" s="16"/>
      <c r="J61" s="16"/>
      <c r="K61" s="16">
        <f>+SUMIFS([1]C4!$L$4:$L$100000,[1]C4!$H$4:$H$100000,ТМЦ!#REF!)</f>
        <v>0</v>
      </c>
      <c r="L61" s="16">
        <f>+SUMIFS([1]C5!$L$4:$L$100000,[1]C5!$H$4:$H$100000,ТМЦ!#REF!)</f>
        <v>0</v>
      </c>
      <c r="M61" s="16">
        <f>+SUMIFS([1]C6!$L$4:$L$99910,[1]C6!$H$4:$H$99910,ТМЦ!#REF!)</f>
        <v>0</v>
      </c>
      <c r="N61" s="16"/>
      <c r="O61" s="16">
        <f>+SUMIFS([1]C8!$L$4:$L$99911,[1]C8!$H$4:$H$99911,ТМЦ!#REF!)</f>
        <v>0</v>
      </c>
      <c r="P61" s="16"/>
      <c r="Q61" s="16"/>
      <c r="R61" s="16"/>
      <c r="S61" s="16"/>
      <c r="T61" s="16"/>
      <c r="U61" s="16"/>
      <c r="V61" s="16"/>
      <c r="W61" s="16">
        <f>+SUMIFS([1]C16!$L$4:$L$100000,[1]C16!$H$4:$H$100000,ТМЦ!#REF!)</f>
        <v>0</v>
      </c>
      <c r="X61" s="16">
        <v>0</v>
      </c>
    </row>
    <row r="62" spans="2:24" hidden="1" x14ac:dyDescent="0.2">
      <c r="B62" s="14" t="s">
        <v>123</v>
      </c>
      <c r="C62" s="14" t="s">
        <v>130</v>
      </c>
      <c r="D62" s="15" t="s">
        <v>125</v>
      </c>
      <c r="E62" s="12" t="s">
        <v>97</v>
      </c>
      <c r="F62" s="12"/>
      <c r="G62" s="16"/>
      <c r="H62" s="16">
        <f>+SUMIFS([1]C1!$L$4:$L$100000,[1]C1!$H$4:$H$100000,ТМЦ!#REF!)</f>
        <v>0</v>
      </c>
      <c r="I62" s="16"/>
      <c r="J62" s="16"/>
      <c r="K62" s="16">
        <f>+SUMIFS([1]C4!$L$4:$L$100000,[1]C4!$H$4:$H$100000,ТМЦ!#REF!)</f>
        <v>0</v>
      </c>
      <c r="L62" s="16">
        <f>+SUMIFS([1]C5!$L$4:$L$100000,[1]C5!$H$4:$H$100000,ТМЦ!#REF!)</f>
        <v>0</v>
      </c>
      <c r="M62" s="16">
        <f>+SUMIFS([1]C6!$L$4:$L$99910,[1]C6!$H$4:$H$99910,ТМЦ!#REF!)</f>
        <v>0</v>
      </c>
      <c r="N62" s="16"/>
      <c r="O62" s="16">
        <f>+SUMIFS([1]C8!$L$4:$L$99911,[1]C8!$H$4:$H$99911,ТМЦ!#REF!)</f>
        <v>0</v>
      </c>
      <c r="P62" s="16"/>
      <c r="Q62" s="16"/>
      <c r="R62" s="16"/>
      <c r="S62" s="16"/>
      <c r="T62" s="16"/>
      <c r="U62" s="16"/>
      <c r="V62" s="16"/>
      <c r="W62" s="16">
        <f>+SUMIFS([1]C16!$L$4:$L$100000,[1]C16!$H$4:$H$100000,ТМЦ!#REF!)</f>
        <v>0</v>
      </c>
      <c r="X62" s="16">
        <v>0</v>
      </c>
    </row>
    <row r="63" spans="2:24" hidden="1" x14ac:dyDescent="0.2">
      <c r="B63" s="14" t="s">
        <v>131</v>
      </c>
      <c r="C63" s="14" t="s">
        <v>132</v>
      </c>
      <c r="D63" s="15" t="s">
        <v>52</v>
      </c>
      <c r="E63" s="12" t="s">
        <v>97</v>
      </c>
      <c r="F63" s="12"/>
      <c r="G63" s="16"/>
      <c r="H63" s="16">
        <f>+SUMIFS([1]C1!$L$4:$L$100000,[1]C1!$H$4:$H$100000,ТМЦ!#REF!)</f>
        <v>0</v>
      </c>
      <c r="I63" s="16"/>
      <c r="J63" s="16"/>
      <c r="K63" s="16">
        <f>+SUMIFS([1]C4!$L$4:$L$100000,[1]C4!$H$4:$H$100000,ТМЦ!#REF!)</f>
        <v>0</v>
      </c>
      <c r="L63" s="16">
        <f>+SUMIFS([1]C5!$L$4:$L$100000,[1]C5!$H$4:$H$100000,ТМЦ!#REF!)</f>
        <v>0</v>
      </c>
      <c r="M63" s="16">
        <f>+SUMIFS([1]C6!$L$4:$L$99910,[1]C6!$H$4:$H$99910,ТМЦ!#REF!)</f>
        <v>0</v>
      </c>
      <c r="N63" s="16"/>
      <c r="O63" s="16">
        <f>+SUMIFS([1]C8!$L$4:$L$99911,[1]C8!$H$4:$H$99911,ТМЦ!#REF!)</f>
        <v>0</v>
      </c>
      <c r="P63" s="16"/>
      <c r="Q63" s="16"/>
      <c r="R63" s="16"/>
      <c r="S63" s="16"/>
      <c r="T63" s="16"/>
      <c r="U63" s="16"/>
      <c r="V63" s="16"/>
      <c r="W63" s="16">
        <f>+SUMIFS([1]C16!$L$4:$L$100000,[1]C16!$H$4:$H$100000,ТМЦ!#REF!)</f>
        <v>0</v>
      </c>
      <c r="X63" s="16">
        <v>0</v>
      </c>
    </row>
    <row r="64" spans="2:24" hidden="1" x14ac:dyDescent="0.2">
      <c r="B64" s="14" t="s">
        <v>131</v>
      </c>
      <c r="C64" s="14" t="s">
        <v>133</v>
      </c>
      <c r="D64" s="15" t="s">
        <v>52</v>
      </c>
      <c r="E64" s="12" t="s">
        <v>97</v>
      </c>
      <c r="F64" s="12"/>
      <c r="G64" s="16"/>
      <c r="H64" s="16">
        <f>+SUMIFS([1]C1!$L$4:$L$100000,[1]C1!$H$4:$H$100000,ТМЦ!#REF!)</f>
        <v>0</v>
      </c>
      <c r="I64" s="16"/>
      <c r="J64" s="16"/>
      <c r="K64" s="16">
        <f>+SUMIFS([1]C4!$L$4:$L$100000,[1]C4!$H$4:$H$100000,ТМЦ!#REF!)</f>
        <v>0</v>
      </c>
      <c r="L64" s="16">
        <f>+SUMIFS([1]C5!$L$4:$L$100000,[1]C5!$H$4:$H$100000,ТМЦ!#REF!)</f>
        <v>0</v>
      </c>
      <c r="M64" s="16">
        <f>+SUMIFS([1]C6!$L$4:$L$99910,[1]C6!$H$4:$H$99910,ТМЦ!#REF!)</f>
        <v>0</v>
      </c>
      <c r="N64" s="16"/>
      <c r="O64" s="16">
        <f>+SUMIFS([1]C8!$L$4:$L$99911,[1]C8!$H$4:$H$99911,ТМЦ!#REF!)</f>
        <v>0</v>
      </c>
      <c r="P64" s="16"/>
      <c r="Q64" s="16"/>
      <c r="R64" s="16"/>
      <c r="S64" s="16"/>
      <c r="T64" s="16"/>
      <c r="U64" s="16"/>
      <c r="V64" s="16"/>
      <c r="W64" s="16">
        <f>+SUMIFS([1]C16!$L$4:$L$100000,[1]C16!$H$4:$H$100000,ТМЦ!#REF!)</f>
        <v>0</v>
      </c>
      <c r="X64" s="16">
        <v>0</v>
      </c>
    </row>
    <row r="65" spans="2:24" hidden="1" x14ac:dyDescent="0.2">
      <c r="B65" s="14"/>
      <c r="C65" s="14"/>
      <c r="D65" s="14"/>
      <c r="E65" s="12" t="s">
        <v>97</v>
      </c>
      <c r="F65" s="12"/>
      <c r="G65" s="16"/>
      <c r="H65" s="16">
        <f>+SUMIFS([1]C1!$L$4:$L$100000,[1]C1!$H$4:$H$100000,ТМЦ!#REF!)</f>
        <v>0</v>
      </c>
      <c r="I65" s="16"/>
      <c r="J65" s="16"/>
      <c r="K65" s="16">
        <f>+SUMIFS([1]C4!$L$4:$L$100000,[1]C4!$H$4:$H$100000,ТМЦ!#REF!)</f>
        <v>0</v>
      </c>
      <c r="L65" s="16">
        <f>+SUMIFS([1]C5!$L$4:$L$100000,[1]C5!$H$4:$H$100000,ТМЦ!#REF!)</f>
        <v>0</v>
      </c>
      <c r="M65" s="16">
        <f>+SUMIFS([1]C6!$L$4:$L$99910,[1]C6!$H$4:$H$99910,ТМЦ!#REF!)</f>
        <v>0</v>
      </c>
      <c r="N65" s="16"/>
      <c r="O65" s="16">
        <f>+SUMIFS([1]C8!$L$4:$L$99911,[1]C8!$H$4:$H$99911,ТМЦ!#REF!)</f>
        <v>0</v>
      </c>
      <c r="P65" s="16"/>
      <c r="Q65" s="16"/>
      <c r="R65" s="16"/>
      <c r="S65" s="16"/>
      <c r="T65" s="16"/>
      <c r="U65" s="16"/>
      <c r="V65" s="16"/>
      <c r="W65" s="16">
        <f>+SUMIFS([1]C16!$L$4:$L$100000,[1]C16!$H$4:$H$100000,ТМЦ!#REF!)</f>
        <v>0</v>
      </c>
      <c r="X65" s="16">
        <v>0</v>
      </c>
    </row>
    <row r="66" spans="2:24" hidden="1" x14ac:dyDescent="0.2">
      <c r="B66" s="14" t="s">
        <v>134</v>
      </c>
      <c r="C66" s="14" t="s">
        <v>135</v>
      </c>
      <c r="D66" s="15" t="s">
        <v>77</v>
      </c>
      <c r="E66" s="12" t="s">
        <v>97</v>
      </c>
      <c r="F66" s="12"/>
      <c r="G66" s="16"/>
      <c r="H66" s="16">
        <f>+SUMIFS([1]C1!$L$4:$L$100000,[1]C1!$H$4:$H$100000,ТМЦ!#REF!)</f>
        <v>0</v>
      </c>
      <c r="I66" s="16"/>
      <c r="J66" s="16"/>
      <c r="K66" s="16">
        <f>+SUMIFS([1]C4!$L$4:$L$100000,[1]C4!$H$4:$H$100000,ТМЦ!#REF!)</f>
        <v>0</v>
      </c>
      <c r="L66" s="16">
        <f>+SUMIFS([1]C5!$L$4:$L$100000,[1]C5!$H$4:$H$100000,ТМЦ!#REF!)</f>
        <v>0</v>
      </c>
      <c r="M66" s="16">
        <f>+SUMIFS([1]C6!$L$4:$L$99910,[1]C6!$H$4:$H$99910,ТМЦ!#REF!)</f>
        <v>0</v>
      </c>
      <c r="N66" s="16"/>
      <c r="O66" s="16">
        <f>+SUMIFS([1]C8!$L$4:$L$99911,[1]C8!$H$4:$H$99911,ТМЦ!#REF!)</f>
        <v>0</v>
      </c>
      <c r="P66" s="16"/>
      <c r="Q66" s="16"/>
      <c r="R66" s="16"/>
      <c r="S66" s="16"/>
      <c r="T66" s="16"/>
      <c r="U66" s="16"/>
      <c r="V66" s="16"/>
      <c r="W66" s="16">
        <f>+SUMIFS([1]C16!$L$4:$L$100000,[1]C16!$H$4:$H$100000,ТМЦ!#REF!)</f>
        <v>0</v>
      </c>
      <c r="X66" s="16">
        <v>0</v>
      </c>
    </row>
    <row r="67" spans="2:24" hidden="1" x14ac:dyDescent="0.2">
      <c r="B67" s="14" t="s">
        <v>134</v>
      </c>
      <c r="C67" s="14" t="s">
        <v>136</v>
      </c>
      <c r="D67" s="15" t="s">
        <v>77</v>
      </c>
      <c r="E67" s="12" t="s">
        <v>97</v>
      </c>
      <c r="F67" s="12"/>
      <c r="G67" s="16"/>
      <c r="H67" s="16">
        <f>+SUMIFS([1]C1!$L$4:$L$100000,[1]C1!$H$4:$H$100000,ТМЦ!#REF!)</f>
        <v>0</v>
      </c>
      <c r="I67" s="16"/>
      <c r="J67" s="16"/>
      <c r="K67" s="16">
        <f>+SUMIFS([1]C4!$L$4:$L$100000,[1]C4!$H$4:$H$100000,ТМЦ!#REF!)</f>
        <v>0</v>
      </c>
      <c r="L67" s="16">
        <f>+SUMIFS([1]C5!$L$4:$L$100000,[1]C5!$H$4:$H$100000,ТМЦ!#REF!)</f>
        <v>0</v>
      </c>
      <c r="M67" s="16">
        <f>+SUMIFS([1]C6!$L$4:$L$99910,[1]C6!$H$4:$H$99910,ТМЦ!#REF!)</f>
        <v>0</v>
      </c>
      <c r="N67" s="16"/>
      <c r="O67" s="16">
        <f>+SUMIFS([1]C8!$L$4:$L$99911,[1]C8!$H$4:$H$99911,ТМЦ!#REF!)</f>
        <v>0</v>
      </c>
      <c r="P67" s="16"/>
      <c r="Q67" s="16"/>
      <c r="R67" s="16"/>
      <c r="S67" s="16"/>
      <c r="T67" s="16"/>
      <c r="U67" s="16"/>
      <c r="V67" s="16"/>
      <c r="W67" s="16">
        <f>+SUMIFS([1]C16!$L$4:$L$100000,[1]C16!$H$4:$H$100000,ТМЦ!#REF!)</f>
        <v>0</v>
      </c>
      <c r="X67" s="16">
        <v>0</v>
      </c>
    </row>
    <row r="68" spans="2:24" hidden="1" x14ac:dyDescent="0.2">
      <c r="B68" s="18" t="s">
        <v>134</v>
      </c>
      <c r="C68" s="18" t="s">
        <v>137</v>
      </c>
      <c r="D68" s="19" t="s">
        <v>77</v>
      </c>
      <c r="E68" s="12" t="s">
        <v>97</v>
      </c>
      <c r="F68" s="12"/>
      <c r="G68" s="16"/>
      <c r="H68" s="16">
        <f>+SUMIFS([1]C1!$L$4:$L$100000,[1]C1!$H$4:$H$100000,ТМЦ!#REF!)</f>
        <v>0</v>
      </c>
      <c r="I68" s="16"/>
      <c r="J68" s="16"/>
      <c r="K68" s="16">
        <f>+SUMIFS([1]C4!$L$4:$L$100000,[1]C4!$H$4:$H$100000,ТМЦ!#REF!)</f>
        <v>0</v>
      </c>
      <c r="L68" s="16">
        <f>+SUMIFS([1]C5!$L$4:$L$100000,[1]C5!$H$4:$H$100000,ТМЦ!#REF!)</f>
        <v>0</v>
      </c>
      <c r="M68" s="16">
        <f>+SUMIFS([1]C6!$L$4:$L$99910,[1]C6!$H$4:$H$99910,ТМЦ!#REF!)</f>
        <v>0</v>
      </c>
      <c r="N68" s="16"/>
      <c r="O68" s="16">
        <f>+SUMIFS([1]C8!$L$4:$L$99911,[1]C8!$H$4:$H$99911,ТМЦ!#REF!)</f>
        <v>0</v>
      </c>
      <c r="P68" s="16"/>
      <c r="Q68" s="16"/>
      <c r="R68" s="16"/>
      <c r="S68" s="16"/>
      <c r="T68" s="16"/>
      <c r="U68" s="16"/>
      <c r="V68" s="16"/>
      <c r="W68" s="16">
        <f>+SUMIFS([1]C16!$L$4:$L$100000,[1]C16!$H$4:$H$100000,ТМЦ!#REF!)</f>
        <v>0</v>
      </c>
      <c r="X68" s="16">
        <v>0</v>
      </c>
    </row>
    <row r="69" spans="2:24" hidden="1" x14ac:dyDescent="0.2">
      <c r="B69" s="18" t="s">
        <v>134</v>
      </c>
      <c r="C69" s="18" t="s">
        <v>138</v>
      </c>
      <c r="D69" s="19" t="s">
        <v>77</v>
      </c>
      <c r="E69" s="12" t="s">
        <v>97</v>
      </c>
      <c r="F69" s="12"/>
      <c r="G69" s="16"/>
      <c r="H69" s="16">
        <f>+SUMIFS([1]C1!$L$4:$L$100000,[1]C1!$H$4:$H$100000,ТМЦ!#REF!)</f>
        <v>0</v>
      </c>
      <c r="I69" s="16"/>
      <c r="J69" s="16"/>
      <c r="K69" s="16">
        <f>+SUMIFS([1]C4!$L$4:$L$100000,[1]C4!$H$4:$H$100000,ТМЦ!#REF!)</f>
        <v>0</v>
      </c>
      <c r="L69" s="16">
        <f>+SUMIFS([1]C5!$L$4:$L$100000,[1]C5!$H$4:$H$100000,ТМЦ!#REF!)</f>
        <v>0</v>
      </c>
      <c r="M69" s="16">
        <f>+SUMIFS([1]C6!$L$4:$L$99910,[1]C6!$H$4:$H$99910,ТМЦ!#REF!)</f>
        <v>0</v>
      </c>
      <c r="N69" s="16"/>
      <c r="O69" s="16">
        <f>+SUMIFS([1]C8!$L$4:$L$99911,[1]C8!$H$4:$H$99911,ТМЦ!#REF!)</f>
        <v>0</v>
      </c>
      <c r="P69" s="16"/>
      <c r="Q69" s="16"/>
      <c r="R69" s="16"/>
      <c r="S69" s="16"/>
      <c r="T69" s="16"/>
      <c r="U69" s="16"/>
      <c r="V69" s="16"/>
      <c r="W69" s="16">
        <f>+SUMIFS([1]C16!$L$4:$L$100000,[1]C16!$H$4:$H$100000,ТМЦ!#REF!)</f>
        <v>0</v>
      </c>
      <c r="X69" s="16">
        <v>0</v>
      </c>
    </row>
    <row r="70" spans="2:24" hidden="1" x14ac:dyDescent="0.2">
      <c r="B70" s="18"/>
      <c r="C70" s="18"/>
      <c r="D70" s="19"/>
      <c r="E70" s="12" t="s">
        <v>97</v>
      </c>
      <c r="F70" s="12"/>
      <c r="G70" s="16"/>
      <c r="H70" s="16">
        <f>+SUMIFS([1]C1!$L$4:$L$100000,[1]C1!$H$4:$H$100000,ТМЦ!#REF!)</f>
        <v>0</v>
      </c>
      <c r="I70" s="16"/>
      <c r="J70" s="16"/>
      <c r="K70" s="16">
        <f>+SUMIFS([1]C4!$L$4:$L$100000,[1]C4!$H$4:$H$100000,ТМЦ!#REF!)</f>
        <v>0</v>
      </c>
      <c r="L70" s="16">
        <f>+SUMIFS([1]C5!$L$4:$L$100000,[1]C5!$H$4:$H$100000,ТМЦ!#REF!)</f>
        <v>0</v>
      </c>
      <c r="M70" s="16">
        <f>+SUMIFS([1]C6!$L$4:$L$99910,[1]C6!$H$4:$H$99910,ТМЦ!#REF!)</f>
        <v>0</v>
      </c>
      <c r="N70" s="16"/>
      <c r="O70" s="16">
        <f>+SUMIFS([1]C8!$L$4:$L$99911,[1]C8!$H$4:$H$99911,ТМЦ!#REF!)</f>
        <v>0</v>
      </c>
      <c r="P70" s="16"/>
      <c r="Q70" s="16"/>
      <c r="R70" s="16"/>
      <c r="S70" s="16"/>
      <c r="T70" s="16"/>
      <c r="U70" s="16"/>
      <c r="V70" s="16"/>
      <c r="W70" s="16">
        <f>+SUMIFS([1]C16!$L$4:$L$100000,[1]C16!$H$4:$H$100000,ТМЦ!#REF!)</f>
        <v>0</v>
      </c>
      <c r="X70" s="16">
        <v>0</v>
      </c>
    </row>
    <row r="71" spans="2:24" hidden="1" x14ac:dyDescent="0.2">
      <c r="B71" s="14" t="s">
        <v>139</v>
      </c>
      <c r="C71" s="14" t="s">
        <v>140</v>
      </c>
      <c r="D71" s="15" t="s">
        <v>77</v>
      </c>
      <c r="E71" s="12" t="s">
        <v>97</v>
      </c>
      <c r="F71" s="12"/>
      <c r="G71" s="16"/>
      <c r="H71" s="16">
        <f>+SUMIFS([1]C1!$L$4:$L$100000,[1]C1!$H$4:$H$100000,ТМЦ!#REF!)</f>
        <v>0</v>
      </c>
      <c r="I71" s="16"/>
      <c r="J71" s="16"/>
      <c r="K71" s="16">
        <f>+SUMIFS([1]C4!$L$4:$L$100000,[1]C4!$H$4:$H$100000,ТМЦ!#REF!)</f>
        <v>0</v>
      </c>
      <c r="L71" s="16">
        <f>+SUMIFS([1]C5!$L$4:$L$100000,[1]C5!$H$4:$H$100000,ТМЦ!#REF!)</f>
        <v>0</v>
      </c>
      <c r="M71" s="16">
        <f>+SUMIFS([1]C6!$L$4:$L$99910,[1]C6!$H$4:$H$99910,ТМЦ!#REF!)</f>
        <v>0</v>
      </c>
      <c r="N71" s="16"/>
      <c r="O71" s="16">
        <f>+SUMIFS([1]C8!$L$4:$L$99911,[1]C8!$H$4:$H$99911,ТМЦ!#REF!)</f>
        <v>0</v>
      </c>
      <c r="P71" s="16"/>
      <c r="Q71" s="16"/>
      <c r="R71" s="16"/>
      <c r="S71" s="16"/>
      <c r="T71" s="16"/>
      <c r="U71" s="16"/>
      <c r="V71" s="16"/>
      <c r="W71" s="16">
        <f>+SUMIFS([1]C16!$L$4:$L$100000,[1]C16!$H$4:$H$100000,ТМЦ!#REF!)</f>
        <v>0</v>
      </c>
      <c r="X71" s="16">
        <v>0</v>
      </c>
    </row>
    <row r="72" spans="2:24" hidden="1" x14ac:dyDescent="0.2">
      <c r="B72" s="14" t="s">
        <v>139</v>
      </c>
      <c r="C72" s="14" t="s">
        <v>141</v>
      </c>
      <c r="D72" s="15" t="s">
        <v>77</v>
      </c>
      <c r="E72" s="12" t="s">
        <v>97</v>
      </c>
      <c r="F72" s="12"/>
      <c r="G72" s="16"/>
      <c r="H72" s="16">
        <f>+SUMIFS([1]C1!$L$4:$L$100000,[1]C1!$H$4:$H$100000,ТМЦ!#REF!)</f>
        <v>0</v>
      </c>
      <c r="I72" s="16"/>
      <c r="J72" s="16"/>
      <c r="K72" s="16">
        <f>+SUMIFS([1]C4!$L$4:$L$100000,[1]C4!$H$4:$H$100000,ТМЦ!#REF!)</f>
        <v>0</v>
      </c>
      <c r="L72" s="16">
        <f>+SUMIFS([1]C5!$L$4:$L$100000,[1]C5!$H$4:$H$100000,ТМЦ!#REF!)</f>
        <v>0</v>
      </c>
      <c r="M72" s="16">
        <f>+SUMIFS([1]C6!$L$4:$L$99910,[1]C6!$H$4:$H$99910,ТМЦ!#REF!)</f>
        <v>0</v>
      </c>
      <c r="N72" s="16"/>
      <c r="O72" s="16">
        <f>+SUMIFS([1]C8!$L$4:$L$99911,[1]C8!$H$4:$H$99911,ТМЦ!#REF!)</f>
        <v>0</v>
      </c>
      <c r="P72" s="16"/>
      <c r="Q72" s="16"/>
      <c r="R72" s="16"/>
      <c r="S72" s="16"/>
      <c r="T72" s="16"/>
      <c r="U72" s="16"/>
      <c r="V72" s="16"/>
      <c r="W72" s="16">
        <f>+SUMIFS([1]C16!$L$4:$L$100000,[1]C16!$H$4:$H$100000,ТМЦ!#REF!)</f>
        <v>0</v>
      </c>
      <c r="X72" s="16">
        <v>0</v>
      </c>
    </row>
    <row r="73" spans="2:24" ht="25.5" hidden="1" x14ac:dyDescent="0.2">
      <c r="B73" s="14" t="s">
        <v>142</v>
      </c>
      <c r="C73" s="14" t="s">
        <v>143</v>
      </c>
      <c r="D73" s="15" t="s">
        <v>77</v>
      </c>
      <c r="E73" s="12" t="s">
        <v>97</v>
      </c>
      <c r="F73" s="12"/>
      <c r="G73" s="16"/>
      <c r="H73" s="16">
        <f>+SUMIFS([1]C1!$L$4:$L$100000,[1]C1!$H$4:$H$100000,ТМЦ!#REF!)</f>
        <v>0</v>
      </c>
      <c r="I73" s="16"/>
      <c r="J73" s="16"/>
      <c r="K73" s="16">
        <f>+SUMIFS([1]C4!$L$4:$L$100000,[1]C4!$H$4:$H$100000,ТМЦ!#REF!)</f>
        <v>0</v>
      </c>
      <c r="L73" s="16">
        <f>+SUMIFS([1]C5!$L$4:$L$100000,[1]C5!$H$4:$H$100000,ТМЦ!#REF!)</f>
        <v>0</v>
      </c>
      <c r="M73" s="16">
        <f>+SUMIFS([1]C6!$L$4:$L$99910,[1]C6!$H$4:$H$99910,ТМЦ!#REF!)</f>
        <v>0</v>
      </c>
      <c r="N73" s="16"/>
      <c r="O73" s="16">
        <f>+SUMIFS([1]C8!$L$4:$L$99911,[1]C8!$H$4:$H$99911,ТМЦ!#REF!)</f>
        <v>0</v>
      </c>
      <c r="P73" s="16"/>
      <c r="Q73" s="16"/>
      <c r="R73" s="16"/>
      <c r="S73" s="16"/>
      <c r="T73" s="16"/>
      <c r="U73" s="16"/>
      <c r="V73" s="16"/>
      <c r="W73" s="16">
        <f>+SUMIFS([1]C16!$L$4:$L$100000,[1]C16!$H$4:$H$100000,ТМЦ!#REF!)</f>
        <v>0</v>
      </c>
      <c r="X73" s="16">
        <v>0</v>
      </c>
    </row>
    <row r="74" spans="2:24" ht="25.5" hidden="1" x14ac:dyDescent="0.2">
      <c r="B74" s="14" t="s">
        <v>142</v>
      </c>
      <c r="C74" s="14" t="s">
        <v>144</v>
      </c>
      <c r="D74" s="15" t="s">
        <v>77</v>
      </c>
      <c r="E74" s="12" t="s">
        <v>97</v>
      </c>
      <c r="F74" s="12"/>
      <c r="G74" s="16"/>
      <c r="H74" s="16">
        <f>+SUMIFS([1]C1!$L$4:$L$100000,[1]C1!$H$4:$H$100000,ТМЦ!#REF!)</f>
        <v>0</v>
      </c>
      <c r="I74" s="16"/>
      <c r="J74" s="16"/>
      <c r="K74" s="16">
        <f>+SUMIFS([1]C4!$L$4:$L$100000,[1]C4!$H$4:$H$100000,ТМЦ!#REF!)</f>
        <v>0</v>
      </c>
      <c r="L74" s="16">
        <f>+SUMIFS([1]C5!$L$4:$L$100000,[1]C5!$H$4:$H$100000,ТМЦ!#REF!)</f>
        <v>0</v>
      </c>
      <c r="M74" s="16">
        <f>+SUMIFS([1]C6!$L$4:$L$99910,[1]C6!$H$4:$H$99910,ТМЦ!#REF!)</f>
        <v>0</v>
      </c>
      <c r="N74" s="16"/>
      <c r="O74" s="16">
        <f>+SUMIFS([1]C8!$L$4:$L$99911,[1]C8!$H$4:$H$99911,ТМЦ!#REF!)</f>
        <v>0</v>
      </c>
      <c r="P74" s="16"/>
      <c r="Q74" s="16"/>
      <c r="R74" s="16"/>
      <c r="S74" s="16"/>
      <c r="T74" s="16"/>
      <c r="U74" s="16"/>
      <c r="V74" s="16"/>
      <c r="W74" s="16">
        <f>+SUMIFS([1]C16!$L$4:$L$100000,[1]C16!$H$4:$H$100000,ТМЦ!#REF!)</f>
        <v>0</v>
      </c>
      <c r="X74" s="16">
        <v>0</v>
      </c>
    </row>
    <row r="75" spans="2:24" hidden="1" x14ac:dyDescent="0.2">
      <c r="B75" s="14"/>
      <c r="C75" s="14"/>
      <c r="D75" s="14"/>
      <c r="E75" s="12" t="s">
        <v>97</v>
      </c>
      <c r="F75" s="12"/>
      <c r="G75" s="16"/>
      <c r="H75" s="16">
        <f>+SUMIFS([1]C1!$L$4:$L$100000,[1]C1!$H$4:$H$100000,ТМЦ!#REF!)</f>
        <v>0</v>
      </c>
      <c r="I75" s="16"/>
      <c r="J75" s="16"/>
      <c r="K75" s="16">
        <f>+SUMIFS([1]C4!$L$4:$L$100000,[1]C4!$H$4:$H$100000,ТМЦ!#REF!)</f>
        <v>0</v>
      </c>
      <c r="L75" s="16">
        <f>+SUMIFS([1]C5!$L$4:$L$100000,[1]C5!$H$4:$H$100000,ТМЦ!#REF!)</f>
        <v>0</v>
      </c>
      <c r="M75" s="16">
        <f>+SUMIFS([1]C6!$L$4:$L$99910,[1]C6!$H$4:$H$99910,ТМЦ!#REF!)</f>
        <v>0</v>
      </c>
      <c r="N75" s="16"/>
      <c r="O75" s="16">
        <f>+SUMIFS([1]C8!$L$4:$L$99911,[1]C8!$H$4:$H$99911,ТМЦ!#REF!)</f>
        <v>0</v>
      </c>
      <c r="P75" s="16"/>
      <c r="Q75" s="16"/>
      <c r="R75" s="16"/>
      <c r="S75" s="16"/>
      <c r="T75" s="16"/>
      <c r="U75" s="16"/>
      <c r="V75" s="16"/>
      <c r="W75" s="16">
        <f>+SUMIFS([1]C16!$L$4:$L$100000,[1]C16!$H$4:$H$100000,ТМЦ!#REF!)</f>
        <v>0</v>
      </c>
      <c r="X75" s="16">
        <v>0</v>
      </c>
    </row>
    <row r="76" spans="2:24" hidden="1" x14ac:dyDescent="0.2">
      <c r="B76" s="14" t="s">
        <v>145</v>
      </c>
      <c r="C76" s="14" t="s">
        <v>146</v>
      </c>
      <c r="D76" s="15" t="s">
        <v>77</v>
      </c>
      <c r="E76" s="12" t="s">
        <v>97</v>
      </c>
      <c r="F76" s="12"/>
      <c r="G76" s="16"/>
      <c r="H76" s="16">
        <f>+SUMIFS([1]C1!$L$4:$L$100000,[1]C1!$H$4:$H$100000,ТМЦ!#REF!)</f>
        <v>0</v>
      </c>
      <c r="I76" s="16"/>
      <c r="J76" s="16"/>
      <c r="K76" s="16">
        <f>+SUMIFS([1]C4!$L$4:$L$100000,[1]C4!$H$4:$H$100000,ТМЦ!#REF!)</f>
        <v>0</v>
      </c>
      <c r="L76" s="16">
        <f>+SUMIFS([1]C5!$L$4:$L$100000,[1]C5!$H$4:$H$100000,ТМЦ!#REF!)</f>
        <v>0</v>
      </c>
      <c r="M76" s="16">
        <f>+SUMIFS([1]C6!$L$4:$L$99910,[1]C6!$H$4:$H$99910,ТМЦ!#REF!)</f>
        <v>0</v>
      </c>
      <c r="N76" s="16"/>
      <c r="O76" s="16">
        <f>+SUMIFS([1]C8!$L$4:$L$99911,[1]C8!$H$4:$H$99911,ТМЦ!#REF!)</f>
        <v>0</v>
      </c>
      <c r="P76" s="16"/>
      <c r="Q76" s="16"/>
      <c r="R76" s="16"/>
      <c r="S76" s="16"/>
      <c r="T76" s="16"/>
      <c r="U76" s="16"/>
      <c r="V76" s="16"/>
      <c r="W76" s="16">
        <f>+SUMIFS([1]C16!$L$4:$L$100000,[1]C16!$H$4:$H$100000,ТМЦ!#REF!)</f>
        <v>0</v>
      </c>
      <c r="X76" s="16">
        <v>0</v>
      </c>
    </row>
    <row r="77" spans="2:24" hidden="1" x14ac:dyDescent="0.2">
      <c r="B77" s="14"/>
      <c r="C77" s="14"/>
      <c r="D77" s="14"/>
      <c r="E77" s="12"/>
      <c r="F77" s="12"/>
      <c r="G77" s="16"/>
      <c r="H77" s="16">
        <f>+SUMIFS([1]C1!$L$4:$L$100000,[1]C1!$H$4:$H$100000,ТМЦ!#REF!)</f>
        <v>0</v>
      </c>
      <c r="I77" s="16"/>
      <c r="J77" s="16"/>
      <c r="K77" s="16">
        <f>+SUMIFS([1]C4!$L$4:$L$100000,[1]C4!$H$4:$H$100000,ТМЦ!#REF!)</f>
        <v>0</v>
      </c>
      <c r="L77" s="16">
        <f>+SUMIFS([1]C5!$L$4:$L$100000,[1]C5!$H$4:$H$100000,ТМЦ!#REF!)</f>
        <v>0</v>
      </c>
      <c r="M77" s="16">
        <f>+SUMIFS([1]C6!$L$4:$L$99910,[1]C6!$H$4:$H$99910,ТМЦ!#REF!)</f>
        <v>0</v>
      </c>
      <c r="N77" s="16"/>
      <c r="O77" s="16">
        <f>+SUMIFS([1]C8!$L$4:$L$99911,[1]C8!$H$4:$H$99911,ТМЦ!#REF!)</f>
        <v>0</v>
      </c>
      <c r="P77" s="16"/>
      <c r="Q77" s="16"/>
      <c r="R77" s="16"/>
      <c r="S77" s="16"/>
      <c r="T77" s="16"/>
      <c r="U77" s="16"/>
      <c r="V77" s="16"/>
      <c r="W77" s="16">
        <f>+SUMIFS([1]C16!$L$4:$L$100000,[1]C16!$H$4:$H$100000,ТМЦ!#REF!)</f>
        <v>0</v>
      </c>
      <c r="X77" s="16">
        <v>0</v>
      </c>
    </row>
    <row r="78" spans="2:24" x14ac:dyDescent="0.2">
      <c r="B78" s="14" t="s">
        <v>147</v>
      </c>
      <c r="C78" s="14" t="s">
        <v>148</v>
      </c>
      <c r="D78" s="15" t="s">
        <v>77</v>
      </c>
      <c r="E78" s="12" t="s">
        <v>149</v>
      </c>
      <c r="F78" s="12"/>
      <c r="G78" s="17"/>
      <c r="H78" s="16">
        <f>+SUMIFS([1]C1!$L$4:$L$100000,[1]C1!$H$4:$H$100000,ТМЦ!#REF!)</f>
        <v>0</v>
      </c>
      <c r="I78" s="17"/>
      <c r="J78" s="17"/>
      <c r="K78" s="16">
        <f>+SUMIFS([1]C4!$L$4:$L$100000,[1]C4!$H$4:$H$100000,ТМЦ!#REF!)</f>
        <v>0</v>
      </c>
      <c r="L78" s="16">
        <f>+SUMIFS([1]C5!$L$4:$L$100000,[1]C5!$H$4:$H$100000,ТМЦ!#REF!)</f>
        <v>0</v>
      </c>
      <c r="M78" s="16">
        <f>+SUMIFS([1]C6!$L$4:$L$99910,[1]C6!$H$4:$H$99910,ТМЦ!#REF!)</f>
        <v>0</v>
      </c>
      <c r="N78" s="17"/>
      <c r="O78" s="16">
        <f>+SUMIFS([1]C8!$L$4:$L$99911,[1]C8!$H$4:$H$99911,ТМЦ!#REF!)</f>
        <v>0</v>
      </c>
      <c r="P78" s="17"/>
      <c r="Q78" s="17"/>
      <c r="R78" s="17"/>
      <c r="S78" s="17"/>
      <c r="T78" s="16"/>
      <c r="U78" s="16"/>
      <c r="V78" s="16"/>
      <c r="W78" s="16">
        <f>+SUMIFS([1]C16!$L$4:$L$100000,[1]C16!$H$4:$H$100000,ТМЦ!#REF!)</f>
        <v>0</v>
      </c>
      <c r="X78" s="16">
        <v>248</v>
      </c>
    </row>
    <row r="79" spans="2:24" x14ac:dyDescent="0.2">
      <c r="B79" s="14" t="s">
        <v>150</v>
      </c>
      <c r="C79" s="14" t="s">
        <v>151</v>
      </c>
      <c r="D79" s="15" t="s">
        <v>52</v>
      </c>
      <c r="E79" s="12" t="s">
        <v>149</v>
      </c>
      <c r="G79" s="22"/>
      <c r="H79" s="16">
        <f>+SUMIFS([1]C1!$L$4:$L$100000,[1]C1!$H$4:$H$100000,ТМЦ!#REF!)</f>
        <v>0</v>
      </c>
      <c r="I79" s="22"/>
      <c r="J79" s="22"/>
      <c r="K79" s="16">
        <f>+SUMIFS([1]C4!$L$4:$L$100000,[1]C4!$H$4:$H$100000,ТМЦ!#REF!)</f>
        <v>0</v>
      </c>
      <c r="L79" s="16">
        <f>+SUMIFS([1]C5!$L$4:$L$100000,[1]C5!$H$4:$H$100000,ТМЦ!#REF!)</f>
        <v>0</v>
      </c>
      <c r="M79" s="16">
        <f>+SUMIFS([1]C6!$L$4:$L$99910,[1]C6!$H$4:$H$99910,ТМЦ!#REF!)</f>
        <v>0</v>
      </c>
      <c r="N79" s="22"/>
      <c r="O79" s="16">
        <f>+SUMIFS([1]C8!$L$4:$L$99911,[1]C8!$H$4:$H$99911,ТМЦ!#REF!)</f>
        <v>0</v>
      </c>
      <c r="P79" s="22"/>
      <c r="Q79" s="22"/>
      <c r="R79" s="22"/>
      <c r="S79" s="22"/>
      <c r="T79" s="22"/>
      <c r="U79" s="22"/>
      <c r="V79" s="22"/>
      <c r="W79" s="16">
        <f>+SUMIFS([1]C16!$L$4:$L$100000,[1]C16!$H$4:$H$100000,ТМЦ!#REF!)</f>
        <v>0</v>
      </c>
      <c r="X79" s="16">
        <v>192</v>
      </c>
    </row>
    <row r="80" spans="2:24" x14ac:dyDescent="0.2">
      <c r="B80" s="14" t="s">
        <v>150</v>
      </c>
      <c r="C80" s="14" t="s">
        <v>152</v>
      </c>
      <c r="D80" s="15" t="s">
        <v>74</v>
      </c>
      <c r="E80" s="12" t="s">
        <v>149</v>
      </c>
      <c r="G80" s="22"/>
      <c r="H80" s="16">
        <f>+SUMIFS([1]C1!$L$4:$L$100000,[1]C1!$H$4:$H$100000,ТМЦ!#REF!)</f>
        <v>0</v>
      </c>
      <c r="I80" s="22"/>
      <c r="J80" s="22"/>
      <c r="K80" s="16">
        <f>+SUMIFS([1]C4!$L$4:$L$100000,[1]C4!$H$4:$H$100000,ТМЦ!#REF!)</f>
        <v>0</v>
      </c>
      <c r="L80" s="16">
        <f>+SUMIFS([1]C5!$L$4:$L$100000,[1]C5!$H$4:$H$100000,ТМЦ!#REF!)</f>
        <v>0</v>
      </c>
      <c r="M80" s="16">
        <f>+SUMIFS([1]C6!$L$4:$L$99910,[1]C6!$H$4:$H$99910,ТМЦ!#REF!)</f>
        <v>0</v>
      </c>
      <c r="N80" s="22"/>
      <c r="O80" s="16">
        <f>+SUMIFS([1]C8!$L$4:$L$99911,[1]C8!$H$4:$H$99911,ТМЦ!#REF!)</f>
        <v>0</v>
      </c>
      <c r="P80" s="22"/>
      <c r="Q80" s="22"/>
      <c r="R80" s="22"/>
      <c r="S80" s="22"/>
      <c r="T80" s="22"/>
      <c r="U80" s="22"/>
      <c r="V80" s="22"/>
      <c r="W80" s="16">
        <f>+SUMIFS([1]C16!$L$4:$L$100000,[1]C16!$H$4:$H$100000,ТМЦ!#REF!)</f>
        <v>0</v>
      </c>
      <c r="X80" s="16">
        <v>19964.5</v>
      </c>
    </row>
    <row r="81" spans="2:24" x14ac:dyDescent="0.2">
      <c r="B81" s="14" t="s">
        <v>150</v>
      </c>
      <c r="C81" s="14" t="s">
        <v>153</v>
      </c>
      <c r="D81" s="15" t="s">
        <v>154</v>
      </c>
      <c r="E81" s="12" t="s">
        <v>149</v>
      </c>
      <c r="G81" s="22"/>
      <c r="H81" s="16">
        <f>+SUMIFS([1]C1!$L$4:$L$100000,[1]C1!$H$4:$H$100000,ТМЦ!#REF!)</f>
        <v>0</v>
      </c>
      <c r="I81" s="22"/>
      <c r="J81" s="22"/>
      <c r="K81" s="16">
        <f>+SUMIFS([1]C4!$L$4:$L$100000,[1]C4!$H$4:$H$100000,ТМЦ!#REF!)</f>
        <v>0</v>
      </c>
      <c r="L81" s="16">
        <f>+SUMIFS([1]C5!$L$4:$L$100000,[1]C5!$H$4:$H$100000,ТМЦ!#REF!)</f>
        <v>0</v>
      </c>
      <c r="M81" s="16">
        <f>+SUMIFS([1]C6!$L$4:$L$99910,[1]C6!$H$4:$H$99910,ТМЦ!#REF!)</f>
        <v>0</v>
      </c>
      <c r="N81" s="22"/>
      <c r="O81" s="16">
        <f>+SUMIFS([1]C8!$L$4:$L$99911,[1]C8!$H$4:$H$99911,ТМЦ!#REF!)</f>
        <v>0</v>
      </c>
      <c r="P81" s="22"/>
      <c r="Q81" s="22"/>
      <c r="R81" s="22"/>
      <c r="S81" s="22"/>
      <c r="T81" s="22"/>
      <c r="U81" s="22"/>
      <c r="V81" s="22"/>
      <c r="W81" s="16">
        <f>+SUMIFS([1]C16!$L$4:$L$100000,[1]C16!$H$4:$H$100000,ТМЦ!#REF!)</f>
        <v>0</v>
      </c>
      <c r="X81" s="16">
        <v>22662.799999999999</v>
      </c>
    </row>
    <row r="82" spans="2:24" x14ac:dyDescent="0.2">
      <c r="B82" s="14" t="s">
        <v>150</v>
      </c>
      <c r="C82" s="14" t="s">
        <v>155</v>
      </c>
      <c r="D82" s="15" t="s">
        <v>154</v>
      </c>
      <c r="E82" s="12" t="s">
        <v>149</v>
      </c>
      <c r="G82" s="22"/>
      <c r="H82" s="16">
        <f>+SUMIFS([1]C1!$L$4:$L$100000,[1]C1!$H$4:$H$100000,ТМЦ!#REF!)</f>
        <v>0</v>
      </c>
      <c r="I82" s="22"/>
      <c r="J82" s="22"/>
      <c r="K82" s="16">
        <f>+SUMIFS([1]C4!$L$4:$L$100000,[1]C4!$H$4:$H$100000,ТМЦ!#REF!)</f>
        <v>0</v>
      </c>
      <c r="L82" s="16">
        <f>+SUMIFS([1]C5!$L$4:$L$100000,[1]C5!$H$4:$H$100000,ТМЦ!#REF!)</f>
        <v>0</v>
      </c>
      <c r="M82" s="16">
        <f>+SUMIFS([1]C6!$L$4:$L$99910,[1]C6!$H$4:$H$99910,ТМЦ!#REF!)</f>
        <v>0</v>
      </c>
      <c r="N82" s="22"/>
      <c r="O82" s="16">
        <f>+SUMIFS([1]C8!$L$4:$L$99911,[1]C8!$H$4:$H$99911,ТМЦ!#REF!)</f>
        <v>0</v>
      </c>
      <c r="P82" s="22"/>
      <c r="Q82" s="22"/>
      <c r="R82" s="22"/>
      <c r="S82" s="22"/>
      <c r="T82" s="22"/>
      <c r="U82" s="22"/>
      <c r="V82" s="22"/>
      <c r="W82" s="16">
        <f>+SUMIFS([1]C16!$L$4:$L$100000,[1]C16!$H$4:$H$100000,ТМЦ!#REF!)</f>
        <v>0</v>
      </c>
      <c r="X82" s="16">
        <v>7554.26</v>
      </c>
    </row>
    <row r="83" spans="2:24" x14ac:dyDescent="0.2">
      <c r="B83" s="14" t="s">
        <v>156</v>
      </c>
      <c r="C83" s="14" t="s">
        <v>157</v>
      </c>
      <c r="D83" s="15" t="s">
        <v>154</v>
      </c>
      <c r="E83" s="12" t="s">
        <v>149</v>
      </c>
      <c r="G83" s="22"/>
      <c r="H83" s="16">
        <f>+SUMIFS([1]C1!$L$4:$L$100000,[1]C1!$H$4:$H$100000,ТМЦ!#REF!)</f>
        <v>0</v>
      </c>
      <c r="I83" s="22"/>
      <c r="J83" s="22"/>
      <c r="K83" s="16">
        <f>+SUMIFS([1]C4!$L$4:$L$100000,[1]C4!$H$4:$H$100000,ТМЦ!#REF!)</f>
        <v>0</v>
      </c>
      <c r="L83" s="16">
        <f>+SUMIFS([1]C5!$L$4:$L$100000,[1]C5!$H$4:$H$100000,ТМЦ!#REF!)</f>
        <v>0</v>
      </c>
      <c r="M83" s="16">
        <f>+SUMIFS([1]C6!$L$4:$L$99910,[1]C6!$H$4:$H$99910,ТМЦ!#REF!)</f>
        <v>0</v>
      </c>
      <c r="N83" s="22"/>
      <c r="O83" s="16">
        <f>+SUMIFS([1]C8!$L$4:$L$99911,[1]C8!$H$4:$H$99911,ТМЦ!#REF!)</f>
        <v>0</v>
      </c>
      <c r="P83" s="22"/>
      <c r="Q83" s="22"/>
      <c r="R83" s="22"/>
      <c r="S83" s="22"/>
      <c r="T83" s="22"/>
      <c r="U83" s="22"/>
      <c r="V83" s="22"/>
      <c r="W83" s="16">
        <f>+SUMIFS([1]C16!$L$4:$L$100000,[1]C16!$H$4:$H$100000,ТМЦ!#REF!)</f>
        <v>0</v>
      </c>
      <c r="X83" s="16">
        <v>3076</v>
      </c>
    </row>
    <row r="84" spans="2:24" x14ac:dyDescent="0.2">
      <c r="B84" s="14" t="s">
        <v>158</v>
      </c>
      <c r="C84" s="14" t="s">
        <v>159</v>
      </c>
      <c r="D84" s="15" t="s">
        <v>74</v>
      </c>
      <c r="E84" s="12" t="s">
        <v>149</v>
      </c>
      <c r="G84" s="22"/>
      <c r="H84" s="16">
        <f>+SUMIFS([1]C1!$L$4:$L$100000,[1]C1!$H$4:$H$100000,ТМЦ!#REF!)</f>
        <v>0</v>
      </c>
      <c r="I84" s="22"/>
      <c r="J84" s="22"/>
      <c r="K84" s="16">
        <f>+SUMIFS([1]C4!$L$4:$L$100000,[1]C4!$H$4:$H$100000,ТМЦ!#REF!)</f>
        <v>0</v>
      </c>
      <c r="L84" s="16">
        <f>+SUMIFS([1]C5!$L$4:$L$100000,[1]C5!$H$4:$H$100000,ТМЦ!#REF!)</f>
        <v>0</v>
      </c>
      <c r="M84" s="16">
        <f>+SUMIFS([1]C6!$L$4:$L$99910,[1]C6!$H$4:$H$99910,ТМЦ!#REF!)</f>
        <v>0</v>
      </c>
      <c r="N84" s="22"/>
      <c r="O84" s="16">
        <f>+SUMIFS([1]C8!$L$4:$L$99911,[1]C8!$H$4:$H$99911,ТМЦ!#REF!)</f>
        <v>0</v>
      </c>
      <c r="P84" s="22"/>
      <c r="Q84" s="22"/>
      <c r="R84" s="22"/>
      <c r="S84" s="22"/>
      <c r="T84" s="22"/>
      <c r="U84" s="22"/>
      <c r="V84" s="22"/>
      <c r="W84" s="16">
        <f>+SUMIFS([1]C16!$L$4:$L$100000,[1]C16!$H$4:$H$100000,ТМЦ!#REF!)</f>
        <v>0</v>
      </c>
      <c r="X84" s="16">
        <v>19964</v>
      </c>
    </row>
    <row r="85" spans="2:24" x14ac:dyDescent="0.2">
      <c r="B85" s="14" t="s">
        <v>160</v>
      </c>
      <c r="C85" s="14" t="s">
        <v>161</v>
      </c>
      <c r="D85" s="15" t="s">
        <v>77</v>
      </c>
      <c r="E85" s="12" t="s">
        <v>149</v>
      </c>
      <c r="G85" s="22"/>
      <c r="H85" s="16">
        <f>+SUMIFS([1]C1!$L$4:$L$100000,[1]C1!$H$4:$H$100000,ТМЦ!#REF!)</f>
        <v>0</v>
      </c>
      <c r="I85" s="22"/>
      <c r="J85" s="22"/>
      <c r="K85" s="16">
        <f>+SUMIFS([1]C4!$L$4:$L$100000,[1]C4!$H$4:$H$100000,ТМЦ!#REF!)</f>
        <v>0</v>
      </c>
      <c r="L85" s="16">
        <f>+SUMIFS([1]C5!$L$4:$L$100000,[1]C5!$H$4:$H$100000,ТМЦ!#REF!)</f>
        <v>0</v>
      </c>
      <c r="M85" s="16">
        <f>+SUMIFS([1]C6!$L$4:$L$99910,[1]C6!$H$4:$H$99910,ТМЦ!#REF!)</f>
        <v>0</v>
      </c>
      <c r="N85" s="22"/>
      <c r="O85" s="16">
        <f>+SUMIFS([1]C8!$L$4:$L$99911,[1]C8!$H$4:$H$99911,ТМЦ!#REF!)</f>
        <v>0</v>
      </c>
      <c r="P85" s="22"/>
      <c r="Q85" s="22"/>
      <c r="R85" s="22"/>
      <c r="S85" s="22"/>
      <c r="T85" s="22"/>
      <c r="U85" s="22"/>
      <c r="V85" s="22"/>
      <c r="W85" s="16">
        <f>+SUMIFS([1]C16!$L$4:$L$100000,[1]C16!$H$4:$H$100000,ТМЦ!#REF!)</f>
        <v>0</v>
      </c>
      <c r="X85" s="16">
        <v>248</v>
      </c>
    </row>
    <row r="86" spans="2:24" x14ac:dyDescent="0.2">
      <c r="G86" s="22"/>
      <c r="H86" s="16">
        <f>+SUMIFS([1]C1!$L$4:$L$100000,[1]C1!$H$4:$H$100000,ТМЦ!#REF!)</f>
        <v>0</v>
      </c>
      <c r="I86" s="22"/>
      <c r="J86" s="22"/>
      <c r="K86" s="16">
        <f>+SUMIFS([1]C4!$L$4:$L$100000,[1]C4!$H$4:$H$100000,ТМЦ!#REF!)</f>
        <v>0</v>
      </c>
      <c r="L86" s="16">
        <f>+SUMIFS([1]C5!$L$4:$L$100000,[1]C5!$H$4:$H$100000,ТМЦ!#REF!)</f>
        <v>0</v>
      </c>
      <c r="M86" s="16">
        <f>+SUMIFS([1]C6!$L$4:$L$99910,[1]C6!$H$4:$H$99910,ТМЦ!#REF!)</f>
        <v>0</v>
      </c>
      <c r="N86" s="22"/>
      <c r="O86" s="16">
        <f>+SUMIFS([1]C8!$L$4:$L$99911,[1]C8!$H$4:$H$99911,ТМЦ!#REF!)</f>
        <v>0</v>
      </c>
      <c r="P86" s="22"/>
      <c r="Q86" s="22"/>
      <c r="R86" s="22"/>
      <c r="S86" s="22"/>
      <c r="T86" s="22"/>
      <c r="U86" s="22"/>
      <c r="V86" s="22"/>
      <c r="W86" s="16">
        <f>+SUMIFS([1]C16!$L$4:$L$100000,[1]C16!$H$4:$H$100000,ТМЦ!#REF!)</f>
        <v>0</v>
      </c>
      <c r="X86" s="16">
        <f t="shared" ref="X86:X97" si="0">+SUM(G86:W86)</f>
        <v>0</v>
      </c>
    </row>
    <row r="87" spans="2:24" x14ac:dyDescent="0.2">
      <c r="G87" s="22"/>
      <c r="H87" s="16">
        <f>+SUMIFS([1]C1!$L$4:$L$100000,[1]C1!$H$4:$H$100000,ТМЦ!#REF!)</f>
        <v>0</v>
      </c>
      <c r="I87" s="22"/>
      <c r="J87" s="22"/>
      <c r="K87" s="16">
        <f>+SUMIFS([1]C4!$L$4:$L$100000,[1]C4!$H$4:$H$100000,ТМЦ!#REF!)</f>
        <v>0</v>
      </c>
      <c r="L87" s="16">
        <f>+SUMIFS([1]C5!$L$4:$L$100000,[1]C5!$H$4:$H$100000,ТМЦ!#REF!)</f>
        <v>0</v>
      </c>
      <c r="M87" s="16">
        <f>+SUMIFS([1]C6!$L$4:$L$99910,[1]C6!$H$4:$H$99910,ТМЦ!#REF!)</f>
        <v>0</v>
      </c>
      <c r="N87" s="22"/>
      <c r="O87" s="16">
        <f>+SUMIFS([1]C8!$L$4:$L$99911,[1]C8!$H$4:$H$99911,ТМЦ!#REF!)</f>
        <v>0</v>
      </c>
      <c r="P87" s="22"/>
      <c r="Q87" s="22"/>
      <c r="R87" s="22"/>
      <c r="S87" s="22"/>
      <c r="T87" s="22"/>
      <c r="U87" s="22"/>
      <c r="V87" s="22"/>
      <c r="W87" s="16">
        <f>+SUMIFS([1]C16!$L$4:$L$100000,[1]C16!$H$4:$H$100000,ТМЦ!#REF!)</f>
        <v>0</v>
      </c>
      <c r="X87" s="16">
        <f t="shared" si="0"/>
        <v>0</v>
      </c>
    </row>
    <row r="88" spans="2:24" x14ac:dyDescent="0.2">
      <c r="G88" s="22"/>
      <c r="H88" s="16">
        <f>+SUMIFS([1]C1!$L$4:$L$100000,[1]C1!$H$4:$H$100000,ТМЦ!#REF!)</f>
        <v>0</v>
      </c>
      <c r="I88" s="22"/>
      <c r="J88" s="22"/>
      <c r="K88" s="16">
        <f>+SUMIFS([1]C4!$L$4:$L$100000,[1]C4!$H$4:$H$100000,ТМЦ!#REF!)</f>
        <v>0</v>
      </c>
      <c r="L88" s="16">
        <f>+SUMIFS([1]C5!$L$4:$L$100000,[1]C5!$H$4:$H$100000,ТМЦ!#REF!)</f>
        <v>0</v>
      </c>
      <c r="M88" s="16">
        <f>+SUMIFS([1]C6!$L$4:$L$99910,[1]C6!$H$4:$H$99910,ТМЦ!#REF!)</f>
        <v>0</v>
      </c>
      <c r="N88" s="22"/>
      <c r="O88" s="16">
        <f>+SUMIFS([1]C8!$L$4:$L$99911,[1]C8!$H$4:$H$99911,ТМЦ!#REF!)</f>
        <v>0</v>
      </c>
      <c r="P88" s="22"/>
      <c r="Q88" s="22"/>
      <c r="R88" s="22"/>
      <c r="S88" s="22"/>
      <c r="T88" s="22"/>
      <c r="U88" s="22"/>
      <c r="V88" s="22"/>
      <c r="W88" s="16">
        <f>+SUMIFS([1]C16!$L$4:$L$100000,[1]C16!$H$4:$H$100000,ТМЦ!#REF!)</f>
        <v>0</v>
      </c>
      <c r="X88" s="16">
        <f t="shared" si="0"/>
        <v>0</v>
      </c>
    </row>
    <row r="89" spans="2:24" x14ac:dyDescent="0.2">
      <c r="G89" s="22"/>
      <c r="H89" s="16">
        <f>+SUMIFS([1]C1!$L$4:$L$100000,[1]C1!$H$4:$H$100000,ТМЦ!#REF!)</f>
        <v>0</v>
      </c>
      <c r="I89" s="22"/>
      <c r="J89" s="22"/>
      <c r="K89" s="16">
        <f>+SUMIFS([1]C4!$L$4:$L$100000,[1]C4!$H$4:$H$100000,ТМЦ!#REF!)</f>
        <v>0</v>
      </c>
      <c r="L89" s="16">
        <f>+SUMIFS([1]C5!$L$4:$L$100000,[1]C5!$H$4:$H$100000,ТМЦ!#REF!)</f>
        <v>0</v>
      </c>
      <c r="M89" s="16">
        <f>+SUMIFS([1]C6!$L$4:$L$99910,[1]C6!$H$4:$H$99910,ТМЦ!#REF!)</f>
        <v>0</v>
      </c>
      <c r="N89" s="22"/>
      <c r="O89" s="16">
        <f>+SUMIFS([1]C8!$L$4:$L$99911,[1]C8!$H$4:$H$99911,ТМЦ!#REF!)</f>
        <v>0</v>
      </c>
      <c r="P89" s="22"/>
      <c r="Q89" s="22"/>
      <c r="R89" s="22"/>
      <c r="S89" s="22"/>
      <c r="T89" s="22"/>
      <c r="U89" s="22"/>
      <c r="V89" s="22"/>
      <c r="W89" s="16">
        <f>+SUMIFS([1]C16!$L$4:$L$100000,[1]C16!$H$4:$H$100000,ТМЦ!#REF!)</f>
        <v>0</v>
      </c>
      <c r="X89" s="16">
        <f t="shared" si="0"/>
        <v>0</v>
      </c>
    </row>
    <row r="90" spans="2:24" x14ac:dyDescent="0.2">
      <c r="G90" s="22"/>
      <c r="H90" s="16">
        <f>+SUMIFS([1]C1!$L$4:$L$100000,[1]C1!$H$4:$H$100000,ТМЦ!#REF!)</f>
        <v>0</v>
      </c>
      <c r="I90" s="22"/>
      <c r="J90" s="22"/>
      <c r="K90" s="16">
        <f>+SUMIFS([1]C4!$L$4:$L$100000,[1]C4!$H$4:$H$100000,ТМЦ!#REF!)</f>
        <v>0</v>
      </c>
      <c r="L90" s="16">
        <f>+SUMIFS([1]C5!$L$4:$L$100000,[1]C5!$H$4:$H$100000,ТМЦ!#REF!)</f>
        <v>0</v>
      </c>
      <c r="M90" s="16">
        <f>+SUMIFS([1]C6!$L$4:$L$99910,[1]C6!$H$4:$H$99910,ТМЦ!#REF!)</f>
        <v>0</v>
      </c>
      <c r="N90" s="22"/>
      <c r="O90" s="16">
        <f>+SUMIFS([1]C8!$L$4:$L$99911,[1]C8!$H$4:$H$99911,ТМЦ!#REF!)</f>
        <v>0</v>
      </c>
      <c r="P90" s="22"/>
      <c r="Q90" s="22"/>
      <c r="R90" s="22"/>
      <c r="S90" s="22"/>
      <c r="T90" s="22"/>
      <c r="U90" s="22"/>
      <c r="V90" s="22"/>
      <c r="W90" s="16">
        <f>+SUMIFS([1]C16!$L$4:$L$100000,[1]C16!$H$4:$H$100000,ТМЦ!#REF!)</f>
        <v>0</v>
      </c>
      <c r="X90" s="16">
        <f t="shared" si="0"/>
        <v>0</v>
      </c>
    </row>
    <row r="91" spans="2:24" x14ac:dyDescent="0.2">
      <c r="G91" s="22"/>
      <c r="H91" s="16">
        <f>+SUMIFS([1]C1!$L$4:$L$100000,[1]C1!$H$4:$H$100000,ТМЦ!#REF!)</f>
        <v>0</v>
      </c>
      <c r="I91" s="22"/>
      <c r="J91" s="22"/>
      <c r="K91" s="16">
        <f>+SUMIFS([1]C4!$L$4:$L$100000,[1]C4!$H$4:$H$100000,ТМЦ!#REF!)</f>
        <v>0</v>
      </c>
      <c r="L91" s="16">
        <f>+SUMIFS([1]C5!$L$4:$L$100000,[1]C5!$H$4:$H$100000,ТМЦ!#REF!)</f>
        <v>0</v>
      </c>
      <c r="M91" s="16">
        <f>+SUMIFS([1]C6!$L$4:$L$99910,[1]C6!$H$4:$H$99910,ТМЦ!#REF!)</f>
        <v>0</v>
      </c>
      <c r="N91" s="22"/>
      <c r="O91" s="16">
        <f>+SUMIFS([1]C8!$L$4:$L$99911,[1]C8!$H$4:$H$99911,ТМЦ!#REF!)</f>
        <v>0</v>
      </c>
      <c r="P91" s="22"/>
      <c r="Q91" s="22"/>
      <c r="R91" s="22"/>
      <c r="S91" s="22"/>
      <c r="T91" s="22"/>
      <c r="U91" s="22"/>
      <c r="V91" s="22"/>
      <c r="W91" s="16">
        <f>+SUMIFS([1]C16!$L$4:$L$100000,[1]C16!$H$4:$H$100000,ТМЦ!#REF!)</f>
        <v>0</v>
      </c>
      <c r="X91" s="16">
        <f t="shared" si="0"/>
        <v>0</v>
      </c>
    </row>
    <row r="92" spans="2:24" x14ac:dyDescent="0.2">
      <c r="G92" s="22"/>
      <c r="H92" s="16">
        <f>+SUMIFS([1]C1!$L$4:$L$100000,[1]C1!$H$4:$H$100000,ТМЦ!#REF!)</f>
        <v>0</v>
      </c>
      <c r="I92" s="22"/>
      <c r="J92" s="22"/>
      <c r="K92" s="16">
        <f>+SUMIFS([1]C4!$L$4:$L$100000,[1]C4!$H$4:$H$100000,ТМЦ!#REF!)</f>
        <v>0</v>
      </c>
      <c r="L92" s="16">
        <f>+SUMIFS([1]C5!$L$4:$L$100000,[1]C5!$H$4:$H$100000,ТМЦ!#REF!)</f>
        <v>0</v>
      </c>
      <c r="M92" s="16">
        <f>+SUMIFS([1]C6!$L$4:$L$99910,[1]C6!$H$4:$H$99910,ТМЦ!#REF!)</f>
        <v>0</v>
      </c>
      <c r="N92" s="22"/>
      <c r="O92" s="16">
        <f>+SUMIFS([1]C8!$L$4:$L$99911,[1]C8!$H$4:$H$99911,ТМЦ!#REF!)</f>
        <v>0</v>
      </c>
      <c r="P92" s="22"/>
      <c r="Q92" s="22"/>
      <c r="R92" s="22"/>
      <c r="S92" s="22"/>
      <c r="T92" s="22"/>
      <c r="U92" s="22"/>
      <c r="V92" s="22"/>
      <c r="W92" s="16">
        <f>+SUMIFS([1]C16!$L$4:$L$100000,[1]C16!$H$4:$H$100000,ТМЦ!#REF!)</f>
        <v>0</v>
      </c>
      <c r="X92" s="16">
        <f t="shared" si="0"/>
        <v>0</v>
      </c>
    </row>
    <row r="93" spans="2:24" x14ac:dyDescent="0.2">
      <c r="G93" s="22"/>
      <c r="H93" s="16">
        <f>+SUMIFS([1]C1!$L$4:$L$100000,[1]C1!$H$4:$H$100000,ТМЦ!#REF!)</f>
        <v>0</v>
      </c>
      <c r="I93" s="22"/>
      <c r="J93" s="22"/>
      <c r="K93" s="16">
        <f>+SUMIFS([1]C4!$L$4:$L$100000,[1]C4!$H$4:$H$100000,ТМЦ!#REF!)</f>
        <v>0</v>
      </c>
      <c r="L93" s="16">
        <f>+SUMIFS([1]C5!$L$4:$L$100000,[1]C5!$H$4:$H$100000,ТМЦ!#REF!)</f>
        <v>0</v>
      </c>
      <c r="M93" s="16">
        <f>+SUMIFS([1]C6!$L$4:$L$99910,[1]C6!$H$4:$H$99910,ТМЦ!#REF!)</f>
        <v>0</v>
      </c>
      <c r="N93" s="22"/>
      <c r="O93" s="16">
        <f>+SUMIFS([1]C8!$L$4:$L$99911,[1]C8!$H$4:$H$99911,ТМЦ!#REF!)</f>
        <v>0</v>
      </c>
      <c r="P93" s="22"/>
      <c r="Q93" s="22"/>
      <c r="R93" s="22"/>
      <c r="S93" s="22"/>
      <c r="T93" s="22"/>
      <c r="U93" s="22"/>
      <c r="V93" s="22"/>
      <c r="W93" s="16">
        <f>+SUMIFS([1]C16!$L$4:$L$100000,[1]C16!$H$4:$H$100000,ТМЦ!#REF!)</f>
        <v>0</v>
      </c>
      <c r="X93" s="16">
        <f t="shared" si="0"/>
        <v>0</v>
      </c>
    </row>
    <row r="94" spans="2:24" x14ac:dyDescent="0.2">
      <c r="G94" s="22"/>
      <c r="H94" s="16">
        <f>+SUMIFS([1]C1!$L$4:$L$100000,[1]C1!$H$4:$H$100000,ТМЦ!#REF!)</f>
        <v>0</v>
      </c>
      <c r="I94" s="22"/>
      <c r="J94" s="22"/>
      <c r="K94" s="16">
        <f>+SUMIFS([1]C4!$L$4:$L$100000,[1]C4!$H$4:$H$100000,ТМЦ!#REF!)</f>
        <v>0</v>
      </c>
      <c r="L94" s="16">
        <f>+SUMIFS([1]C5!$L$4:$L$100000,[1]C5!$H$4:$H$100000,ТМЦ!#REF!)</f>
        <v>0</v>
      </c>
      <c r="M94" s="16">
        <f>+SUMIFS([1]C6!$L$4:$L$99910,[1]C6!$H$4:$H$99910,ТМЦ!#REF!)</f>
        <v>0</v>
      </c>
      <c r="N94" s="22"/>
      <c r="O94" s="16">
        <f>+SUMIFS([1]C8!$L$4:$L$99911,[1]C8!$H$4:$H$99911,ТМЦ!#REF!)</f>
        <v>0</v>
      </c>
      <c r="P94" s="22"/>
      <c r="Q94" s="22"/>
      <c r="R94" s="22"/>
      <c r="S94" s="22"/>
      <c r="T94" s="22"/>
      <c r="U94" s="22"/>
      <c r="V94" s="22"/>
      <c r="W94" s="16">
        <f>+SUMIFS([1]C16!$L$4:$L$100000,[1]C16!$H$4:$H$100000,ТМЦ!#REF!)</f>
        <v>0</v>
      </c>
      <c r="X94" s="16">
        <f t="shared" si="0"/>
        <v>0</v>
      </c>
    </row>
    <row r="95" spans="2:24" x14ac:dyDescent="0.2">
      <c r="G95" s="22"/>
      <c r="H95" s="16">
        <f>+SUMIFS([1]C1!$L$4:$L$100000,[1]C1!$H$4:$H$100000,ТМЦ!#REF!)</f>
        <v>0</v>
      </c>
      <c r="I95" s="22"/>
      <c r="J95" s="22"/>
      <c r="K95" s="16">
        <f>+SUMIFS([1]C4!$L$4:$L$100000,[1]C4!$H$4:$H$100000,ТМЦ!#REF!)</f>
        <v>0</v>
      </c>
      <c r="L95" s="16">
        <f>+SUMIFS([1]C5!$L$4:$L$100000,[1]C5!$H$4:$H$100000,ТМЦ!#REF!)</f>
        <v>0</v>
      </c>
      <c r="M95" s="16">
        <f>+SUMIFS([1]C6!$L$4:$L$99910,[1]C6!$H$4:$H$99910,ТМЦ!#REF!)</f>
        <v>0</v>
      </c>
      <c r="N95" s="22"/>
      <c r="O95" s="16">
        <f>+SUMIFS([1]C8!$L$4:$L$99911,[1]C8!$H$4:$H$99911,ТМЦ!#REF!)</f>
        <v>0</v>
      </c>
      <c r="P95" s="22"/>
      <c r="Q95" s="22"/>
      <c r="R95" s="22"/>
      <c r="S95" s="22"/>
      <c r="T95" s="22"/>
      <c r="U95" s="22"/>
      <c r="V95" s="22"/>
      <c r="W95" s="16">
        <f>+SUMIFS([1]C16!$L$4:$L$100000,[1]C16!$H$4:$H$100000,ТМЦ!#REF!)</f>
        <v>0</v>
      </c>
      <c r="X95" s="16">
        <f t="shared" si="0"/>
        <v>0</v>
      </c>
    </row>
    <row r="96" spans="2:24" x14ac:dyDescent="0.2">
      <c r="G96" s="22"/>
      <c r="H96" s="16">
        <f>+SUMIFS([1]C1!$L$4:$L$100000,[1]C1!$H$4:$H$100000,ТМЦ!#REF!)</f>
        <v>0</v>
      </c>
      <c r="I96" s="22"/>
      <c r="J96" s="22"/>
      <c r="K96" s="16">
        <f>+SUMIFS([1]C4!$L$4:$L$100000,[1]C4!$H$4:$H$100000,ТМЦ!#REF!)</f>
        <v>0</v>
      </c>
      <c r="L96" s="16">
        <f>+SUMIFS([1]C5!$L$4:$L$100000,[1]C5!$H$4:$H$100000,ТМЦ!#REF!)</f>
        <v>0</v>
      </c>
      <c r="M96" s="16">
        <f>+SUMIFS([1]C6!$L$4:$L$99910,[1]C6!$H$4:$H$99910,ТМЦ!#REF!)</f>
        <v>0</v>
      </c>
      <c r="N96" s="22"/>
      <c r="O96" s="16">
        <f>+SUMIFS([1]C8!$L$4:$L$99911,[1]C8!$H$4:$H$99911,ТМЦ!#REF!)</f>
        <v>0</v>
      </c>
      <c r="P96" s="22"/>
      <c r="Q96" s="22"/>
      <c r="R96" s="22"/>
      <c r="S96" s="22"/>
      <c r="T96" s="22"/>
      <c r="U96" s="22"/>
      <c r="V96" s="22"/>
      <c r="W96" s="16">
        <f>+SUMIFS([1]C16!$L$4:$L$100000,[1]C16!$H$4:$H$100000,ТМЦ!#REF!)</f>
        <v>0</v>
      </c>
      <c r="X96" s="16">
        <f t="shared" si="0"/>
        <v>0</v>
      </c>
    </row>
    <row r="97" spans="7:24" x14ac:dyDescent="0.2">
      <c r="G97" s="22"/>
      <c r="H97" s="16">
        <f>+SUMIFS([1]C1!$L$4:$L$100000,[1]C1!$H$4:$H$100000,ТМЦ!#REF!)</f>
        <v>0</v>
      </c>
      <c r="I97" s="22"/>
      <c r="J97" s="22"/>
      <c r="K97" s="16">
        <f>+SUMIFS([1]C4!$L$4:$L$100000,[1]C4!$H$4:$H$100000,ТМЦ!#REF!)</f>
        <v>0</v>
      </c>
      <c r="L97" s="16">
        <f>+SUMIFS([1]C5!$L$4:$L$100000,[1]C5!$H$4:$H$100000,ТМЦ!#REF!)</f>
        <v>0</v>
      </c>
      <c r="M97" s="16">
        <f>+SUMIFS([1]C6!$L$4:$L$99910,[1]C6!$H$4:$H$99910,ТМЦ!#REF!)</f>
        <v>0</v>
      </c>
      <c r="N97" s="22"/>
      <c r="O97" s="16">
        <f>+SUMIFS([1]C8!$L$4:$L$99911,[1]C8!$H$4:$H$99911,ТМЦ!#REF!)</f>
        <v>0</v>
      </c>
      <c r="P97" s="22"/>
      <c r="Q97" s="22"/>
      <c r="R97" s="22"/>
      <c r="S97" s="22"/>
      <c r="T97" s="22"/>
      <c r="U97" s="22"/>
      <c r="V97" s="22"/>
      <c r="W97" s="16">
        <f>+SUMIFS([1]C16!$L$4:$L$100000,[1]C16!$H$4:$H$100000,ТМЦ!#REF!)</f>
        <v>0</v>
      </c>
      <c r="X97" s="16">
        <f t="shared" si="0"/>
        <v>0</v>
      </c>
    </row>
  </sheetData>
  <autoFilter ref="B3:X85" xr:uid="{A9D2D86D-8CA2-4389-8D65-5D392E0204E6}">
    <filterColumn colId="22">
      <filters>
        <filter val="1 203,64"/>
        <filter val="1 332,00"/>
        <filter val="128,75"/>
        <filter val="175 888,84"/>
        <filter val="19 879,72"/>
        <filter val="19 964,00"/>
        <filter val="19 964,50"/>
        <filter val="192,00"/>
        <filter val="2 213,22"/>
        <filter val="21 312,00"/>
        <filter val="22 662,80"/>
        <filter val="248,00"/>
        <filter val="27 192,17"/>
        <filter val="3 076,00"/>
        <filter val="34,44"/>
        <filter val="36 047,96"/>
        <filter val="36 453,02"/>
        <filter val="43 972,71"/>
        <filter val="5 856,14"/>
        <filter val="5,18"/>
        <filter val="54 360,80"/>
        <filter val="574,00"/>
        <filter val="6 000,74"/>
        <filter val="7 554,26"/>
        <filter val="976,18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11B9-8C78-4942-86E9-31A703DDB7CA}">
  <dimension ref="B4:L20"/>
  <sheetViews>
    <sheetView workbookViewId="0">
      <selection activeCell="Q9" sqref="Q9"/>
    </sheetView>
  </sheetViews>
  <sheetFormatPr defaultRowHeight="15" x14ac:dyDescent="0.25"/>
  <cols>
    <col min="2" max="2" width="7.5703125" style="1" customWidth="1"/>
    <col min="3" max="3" width="16.42578125" customWidth="1"/>
    <col min="4" max="4" width="30.7109375" customWidth="1"/>
    <col min="5" max="11" width="12.42578125" customWidth="1"/>
    <col min="12" max="12" width="18.28515625" customWidth="1"/>
  </cols>
  <sheetData>
    <row r="4" spans="2:12" x14ac:dyDescent="0.25">
      <c r="B4" s="2" t="s">
        <v>0</v>
      </c>
      <c r="C4" s="2" t="s">
        <v>17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  <c r="L4" s="2" t="s">
        <v>23</v>
      </c>
    </row>
    <row r="5" spans="2:12" x14ac:dyDescent="0.25">
      <c r="B5" s="3">
        <v>1</v>
      </c>
      <c r="C5" s="4" t="s">
        <v>18</v>
      </c>
      <c r="D5" s="4" t="s">
        <v>9</v>
      </c>
      <c r="E5" s="6">
        <v>42</v>
      </c>
      <c r="F5" s="6">
        <v>31</v>
      </c>
      <c r="G5" s="6">
        <v>11</v>
      </c>
      <c r="H5" s="6">
        <v>0</v>
      </c>
      <c r="I5" s="6">
        <v>9</v>
      </c>
      <c r="J5" s="6">
        <v>10</v>
      </c>
      <c r="K5" s="5">
        <v>0.4</v>
      </c>
      <c r="L5" s="7" t="s">
        <v>31</v>
      </c>
    </row>
    <row r="6" spans="2:12" x14ac:dyDescent="0.25">
      <c r="B6" s="3">
        <v>2</v>
      </c>
      <c r="C6" s="4" t="s">
        <v>18</v>
      </c>
      <c r="D6" s="4" t="s">
        <v>10</v>
      </c>
      <c r="E6" s="6">
        <v>3</v>
      </c>
      <c r="F6" s="6">
        <v>2</v>
      </c>
      <c r="G6" s="6">
        <v>1</v>
      </c>
      <c r="H6" s="6">
        <v>0</v>
      </c>
      <c r="I6" s="6">
        <v>0</v>
      </c>
      <c r="J6" s="6">
        <v>2</v>
      </c>
      <c r="K6" s="5">
        <v>0.2</v>
      </c>
      <c r="L6" s="7" t="s">
        <v>31</v>
      </c>
    </row>
    <row r="7" spans="2:12" x14ac:dyDescent="0.25">
      <c r="B7" s="3">
        <v>3</v>
      </c>
      <c r="C7" s="4" t="s">
        <v>18</v>
      </c>
      <c r="D7" s="4" t="s">
        <v>11</v>
      </c>
      <c r="E7" s="6">
        <v>21</v>
      </c>
      <c r="F7" s="6">
        <v>17</v>
      </c>
      <c r="G7" s="6">
        <v>4</v>
      </c>
      <c r="H7" s="6">
        <v>2</v>
      </c>
      <c r="I7" s="6">
        <v>10</v>
      </c>
      <c r="J7" s="6">
        <v>5</v>
      </c>
      <c r="K7" s="5">
        <v>0.52</v>
      </c>
      <c r="L7" s="7" t="s">
        <v>31</v>
      </c>
    </row>
    <row r="8" spans="2:12" x14ac:dyDescent="0.25">
      <c r="B8" s="3">
        <v>4</v>
      </c>
      <c r="C8" s="4" t="s">
        <v>18</v>
      </c>
      <c r="D8" s="4" t="s">
        <v>12</v>
      </c>
      <c r="E8" s="6">
        <v>17</v>
      </c>
      <c r="F8" s="6">
        <v>14</v>
      </c>
      <c r="G8" s="6">
        <v>3</v>
      </c>
      <c r="H8" s="6">
        <v>1</v>
      </c>
      <c r="I8" s="6">
        <v>4</v>
      </c>
      <c r="J8" s="6">
        <v>9</v>
      </c>
      <c r="K8" s="5">
        <v>0.46</v>
      </c>
      <c r="L8" s="7" t="s">
        <v>31</v>
      </c>
    </row>
    <row r="9" spans="2:12" x14ac:dyDescent="0.25">
      <c r="B9" s="3">
        <v>5</v>
      </c>
      <c r="C9" s="4" t="s">
        <v>18</v>
      </c>
      <c r="D9" s="4" t="s">
        <v>13</v>
      </c>
      <c r="E9" s="6">
        <v>19</v>
      </c>
      <c r="F9" s="6">
        <v>12</v>
      </c>
      <c r="G9" s="6">
        <v>7</v>
      </c>
      <c r="H9" s="6">
        <v>0</v>
      </c>
      <c r="I9" s="6">
        <v>8</v>
      </c>
      <c r="J9" s="6">
        <v>4</v>
      </c>
      <c r="K9" s="5">
        <v>0.56999999999999995</v>
      </c>
      <c r="L9" s="7" t="s">
        <v>31</v>
      </c>
    </row>
    <row r="10" spans="2:12" x14ac:dyDescent="0.25">
      <c r="B10" s="3">
        <v>6</v>
      </c>
      <c r="C10" s="4" t="s">
        <v>18</v>
      </c>
      <c r="D10" s="4" t="s">
        <v>14</v>
      </c>
      <c r="E10" s="6">
        <v>10</v>
      </c>
      <c r="F10" s="6">
        <v>10</v>
      </c>
      <c r="G10" s="6">
        <v>0</v>
      </c>
      <c r="H10" s="6">
        <v>0</v>
      </c>
      <c r="I10" s="6">
        <v>0</v>
      </c>
      <c r="J10" s="6">
        <v>10</v>
      </c>
      <c r="K10" s="5">
        <v>0.25</v>
      </c>
      <c r="L10" s="7" t="s">
        <v>31</v>
      </c>
    </row>
    <row r="11" spans="2:12" x14ac:dyDescent="0.25">
      <c r="B11" s="3">
        <v>7</v>
      </c>
      <c r="C11" s="4" t="s">
        <v>18</v>
      </c>
      <c r="D11" s="4" t="s">
        <v>15</v>
      </c>
      <c r="E11" s="6">
        <v>2</v>
      </c>
      <c r="F11" s="6">
        <v>2</v>
      </c>
      <c r="G11" s="6">
        <v>0</v>
      </c>
      <c r="H11" s="6">
        <v>0</v>
      </c>
      <c r="I11" s="6">
        <v>0</v>
      </c>
      <c r="J11" s="6">
        <v>2</v>
      </c>
      <c r="K11" s="5">
        <v>0.4</v>
      </c>
      <c r="L11" s="7" t="s">
        <v>31</v>
      </c>
    </row>
    <row r="12" spans="2:12" x14ac:dyDescent="0.25">
      <c r="B12" s="3">
        <v>8</v>
      </c>
      <c r="C12" s="4" t="s">
        <v>18</v>
      </c>
      <c r="D12" s="4" t="s">
        <v>16</v>
      </c>
      <c r="E12" s="6">
        <v>5</v>
      </c>
      <c r="F12" s="6">
        <v>5</v>
      </c>
      <c r="G12" s="6">
        <v>0</v>
      </c>
      <c r="H12" s="6">
        <v>0</v>
      </c>
      <c r="I12" s="6">
        <v>1</v>
      </c>
      <c r="J12" s="6">
        <v>4</v>
      </c>
      <c r="K12" s="5">
        <v>0.4</v>
      </c>
      <c r="L12" s="7" t="s">
        <v>31</v>
      </c>
    </row>
    <row r="13" spans="2:12" x14ac:dyDescent="0.25">
      <c r="B13" s="3">
        <v>9</v>
      </c>
      <c r="C13" s="8" t="s">
        <v>29</v>
      </c>
      <c r="D13" s="8" t="s">
        <v>30</v>
      </c>
      <c r="E13" s="9">
        <v>1</v>
      </c>
      <c r="F13" s="10"/>
      <c r="G13" s="10"/>
      <c r="H13" s="10"/>
      <c r="I13" s="10"/>
      <c r="J13" s="10"/>
      <c r="K13" s="7"/>
      <c r="L13" s="7" t="s">
        <v>24</v>
      </c>
    </row>
    <row r="14" spans="2:12" x14ac:dyDescent="0.25">
      <c r="B14" s="3">
        <v>10</v>
      </c>
      <c r="C14" s="8" t="s">
        <v>19</v>
      </c>
      <c r="D14" s="8" t="s">
        <v>20</v>
      </c>
      <c r="E14" s="10">
        <v>1</v>
      </c>
      <c r="F14" s="10"/>
      <c r="G14" s="10"/>
      <c r="H14" s="10"/>
      <c r="I14" s="10"/>
      <c r="J14" s="10"/>
      <c r="K14" s="7"/>
      <c r="L14" s="7" t="s">
        <v>24</v>
      </c>
    </row>
    <row r="15" spans="2:12" x14ac:dyDescent="0.25">
      <c r="B15" s="3">
        <v>11</v>
      </c>
      <c r="C15" s="8" t="s">
        <v>19</v>
      </c>
      <c r="D15" s="8" t="s">
        <v>21</v>
      </c>
      <c r="E15" s="10">
        <v>1</v>
      </c>
      <c r="F15" s="10"/>
      <c r="G15" s="10"/>
      <c r="H15" s="10"/>
      <c r="I15" s="10"/>
      <c r="J15" s="10"/>
      <c r="K15" s="7"/>
      <c r="L15" s="7" t="s">
        <v>24</v>
      </c>
    </row>
    <row r="16" spans="2:12" x14ac:dyDescent="0.25">
      <c r="B16" s="3">
        <v>12</v>
      </c>
      <c r="C16" s="8" t="s">
        <v>19</v>
      </c>
      <c r="D16" s="8" t="s">
        <v>22</v>
      </c>
      <c r="E16" s="10">
        <v>1</v>
      </c>
      <c r="F16" s="10"/>
      <c r="G16" s="10"/>
      <c r="H16" s="10"/>
      <c r="I16" s="10"/>
      <c r="J16" s="10"/>
      <c r="K16" s="7"/>
      <c r="L16" s="7" t="s">
        <v>24</v>
      </c>
    </row>
    <row r="17" spans="2:12" x14ac:dyDescent="0.25">
      <c r="B17" s="3">
        <v>13</v>
      </c>
      <c r="C17" s="8" t="s">
        <v>25</v>
      </c>
      <c r="D17" s="8" t="s">
        <v>21</v>
      </c>
      <c r="E17" s="10">
        <v>1</v>
      </c>
      <c r="F17" s="10"/>
      <c r="G17" s="10"/>
      <c r="H17" s="10"/>
      <c r="I17" s="10"/>
      <c r="J17" s="10"/>
      <c r="K17" s="7"/>
      <c r="L17" s="7" t="s">
        <v>24</v>
      </c>
    </row>
    <row r="18" spans="2:12" x14ac:dyDescent="0.25">
      <c r="B18" s="3">
        <v>14</v>
      </c>
      <c r="C18" s="8" t="s">
        <v>25</v>
      </c>
      <c r="D18" s="8" t="s">
        <v>22</v>
      </c>
      <c r="E18" s="10">
        <v>1</v>
      </c>
      <c r="F18" s="10"/>
      <c r="G18" s="10"/>
      <c r="H18" s="10"/>
      <c r="I18" s="10"/>
      <c r="J18" s="10"/>
      <c r="K18" s="7"/>
      <c r="L18" s="7" t="s">
        <v>24</v>
      </c>
    </row>
    <row r="19" spans="2:12" x14ac:dyDescent="0.25">
      <c r="B19" s="3">
        <v>15</v>
      </c>
      <c r="C19" s="8" t="s">
        <v>26</v>
      </c>
      <c r="D19" s="8" t="s">
        <v>27</v>
      </c>
      <c r="E19" s="10">
        <v>1</v>
      </c>
      <c r="F19" s="10"/>
      <c r="G19" s="10"/>
      <c r="H19" s="10"/>
      <c r="I19" s="10"/>
      <c r="J19" s="10"/>
      <c r="K19" s="7"/>
      <c r="L19" s="7" t="s">
        <v>24</v>
      </c>
    </row>
    <row r="20" spans="2:12" x14ac:dyDescent="0.25">
      <c r="B20" s="3">
        <v>16</v>
      </c>
      <c r="C20" s="8" t="s">
        <v>26</v>
      </c>
      <c r="D20" s="8" t="s">
        <v>28</v>
      </c>
      <c r="E20" s="10">
        <v>1</v>
      </c>
      <c r="F20" s="10"/>
      <c r="G20" s="10"/>
      <c r="H20" s="10"/>
      <c r="I20" s="10"/>
      <c r="J20" s="10"/>
      <c r="K20" s="7"/>
      <c r="L20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ТМЦ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2026-05-13T07:24:18Z</cp:lastPrinted>
  <dcterms:created xsi:type="dcterms:W3CDTF">2026-04-28T07:55:45Z</dcterms:created>
  <dcterms:modified xsi:type="dcterms:W3CDTF">2026-05-13T07:37:22Z</dcterms:modified>
</cp:coreProperties>
</file>